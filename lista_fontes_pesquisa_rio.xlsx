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do Acervo" sheetId="1" state="visible" r:id="rId1"/>
    <sheet xmlns:r="http://schemas.openxmlformats.org/officeDocument/2006/relationships" name="Catálogo Completo de Fontes" sheetId="2" state="visible" r:id="rId2"/>
    <sheet xmlns:r="http://schemas.openxmlformats.org/officeDocument/2006/relationships" name="Distribuição Temátic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2F5496"/>
      <sz val="14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2F5496"/>
      <sz val="11"/>
    </font>
    <font>
      <name val="Calibri"/>
      <sz val="11"/>
    </font>
    <font>
      <name val="Calibri"/>
      <sz val="10"/>
    </font>
    <font>
      <name val="Calibri"/>
      <i val="1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F5496"/>
        <bgColor rgb="002F5496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3" fillId="3" borderId="0" applyAlignment="1" pivotButton="0" quotePrefix="0" xfId="0">
      <alignment horizontal="left"/>
    </xf>
    <xf numFmtId="0" fontId="3" fillId="3" borderId="0" applyAlignment="1" pivotButton="0" quotePrefix="0" xfId="0">
      <alignment horizontal="center"/>
    </xf>
    <xf numFmtId="0" fontId="6" fillId="0" borderId="1" pivotButton="0" quotePrefix="0" xfId="0"/>
    <xf numFmtId="164" fontId="6" fillId="0" borderId="1" pivotButton="0" quotePrefix="0" xfId="0"/>
    <xf numFmtId="0" fontId="4" fillId="0" borderId="2" pivotButton="0" quotePrefix="0" xfId="0"/>
    <xf numFmtId="164" fontId="4" fillId="0" borderId="2" pivotButton="0" quotePrefix="0" xfId="0"/>
    <xf numFmtId="0" fontId="3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/>
    </xf>
    <xf numFmtId="0" fontId="7" fillId="4" borderId="1" pivotButton="0" quotePrefix="0" xfId="0"/>
    <xf numFmtId="0" fontId="7" fillId="5" borderId="1" applyAlignment="1" pivotButton="0" quotePrefix="0" xfId="0">
      <alignment horizontal="center"/>
    </xf>
    <xf numFmtId="0" fontId="7" fillId="5" borderId="1" pivotButton="0" quotePrefix="0" xfId="0"/>
    <xf numFmtId="0" fontId="8" fillId="0" borderId="1" pivotButton="0" quotePrefix="0" xfId="0"/>
    <xf numFmtId="0" fontId="9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1" workbookViewId="0">
      <selection activeCell="A1" sqref="A1"/>
    </sheetView>
  </sheetViews>
  <sheetFormatPr baseColWidth="8" defaultRowHeight="15"/>
  <cols>
    <col width="70" customWidth="1" min="1" max="1"/>
    <col width="17" customWidth="1" min="2" max="2"/>
    <col width="17" customWidth="1" min="3" max="3"/>
  </cols>
  <sheetData>
    <row r="1">
      <c r="A1" s="1" t="inlineStr">
        <is>
          <t>PROJETO ICONOGRAFIA DA HISTÓRIA: SOCIOLOGIA DO CRIME E SEGURANÇA PÚBLICA</t>
        </is>
      </c>
    </row>
    <row r="2">
      <c r="A2" s="2" t="inlineStr">
        <is>
          <t>Relatório Estruturado do Acervo Bibliográfico e Documental (159 Entradas)</t>
        </is>
      </c>
    </row>
    <row r="3"/>
    <row r="4">
      <c r="A4" s="3" t="inlineStr">
        <is>
          <t>INDICADORES GERAIS DO ACERVO</t>
        </is>
      </c>
    </row>
    <row r="5">
      <c r="A5" s="4" t="inlineStr">
        <is>
          <t>Total de Fontes Catalogadas</t>
        </is>
      </c>
      <c r="B5" s="5" t="n">
        <v>159</v>
      </c>
    </row>
    <row r="6">
      <c r="A6" s="4" t="inlineStr">
        <is>
          <t>Documentos PDF / Acadêmicos</t>
        </is>
      </c>
      <c r="B6" s="5" t="n">
        <v>41</v>
      </c>
    </row>
    <row r="7">
      <c r="A7" s="4" t="inlineStr">
        <is>
          <t>Artigos Web / Reportagens</t>
        </is>
      </c>
      <c r="B7" s="5" t="n">
        <v>114</v>
      </c>
    </row>
    <row r="8">
      <c r="A8" s="4" t="inlineStr">
        <is>
          <t>Vídeos / Material Audiovisual</t>
        </is>
      </c>
      <c r="B8" s="5" t="n">
        <v>2</v>
      </c>
    </row>
    <row r="9">
      <c r="A9" s="4" t="inlineStr">
        <is>
          <t>Arquivos Markdown / Internos</t>
        </is>
      </c>
      <c r="B9" s="5" t="n">
        <v>2</v>
      </c>
    </row>
    <row r="10"/>
    <row r="11">
      <c r="A11" s="3" t="inlineStr">
        <is>
          <t>DISTRIBUIÇÃO POR TIPO DE MÍDIA</t>
        </is>
      </c>
    </row>
    <row r="12">
      <c r="A12" s="6" t="inlineStr">
        <is>
          <t>Tipo de Mídia</t>
        </is>
      </c>
      <c r="B12" s="7" t="inlineStr">
        <is>
          <t>Quantidade</t>
        </is>
      </c>
      <c r="C12" s="7" t="inlineStr">
        <is>
          <t>% do Total</t>
        </is>
      </c>
    </row>
    <row r="13">
      <c r="A13" s="8" t="inlineStr">
        <is>
          <t>Web URL</t>
        </is>
      </c>
      <c r="B13" s="8" t="n">
        <v>114</v>
      </c>
      <c r="C13" s="9">
        <f>B13/B17</f>
        <v/>
      </c>
    </row>
    <row r="14">
      <c r="A14" s="8" t="inlineStr">
        <is>
          <t>Documento PDF</t>
        </is>
      </c>
      <c r="B14" s="8" t="n">
        <v>41</v>
      </c>
      <c r="C14" s="9">
        <f>B14/B17</f>
        <v/>
      </c>
    </row>
    <row r="15">
      <c r="A15" s="8" t="inlineStr">
        <is>
          <t>Vídeo YouTube</t>
        </is>
      </c>
      <c r="B15" s="8" t="n">
        <v>2</v>
      </c>
      <c r="C15" s="9">
        <f>B15/B17</f>
        <v/>
      </c>
    </row>
    <row r="16">
      <c r="A16" s="8" t="inlineStr">
        <is>
          <t>Markdown</t>
        </is>
      </c>
      <c r="B16" s="8" t="n">
        <v>2</v>
      </c>
      <c r="C16" s="9">
        <f>B16/B17</f>
        <v/>
      </c>
    </row>
    <row r="17">
      <c r="A17" s="10" t="inlineStr">
        <is>
          <t>Total</t>
        </is>
      </c>
      <c r="B17" s="10">
        <f>SUM(B13:B16)</f>
        <v/>
      </c>
      <c r="C17" s="11">
        <f>SUM(C13:C16)</f>
        <v/>
      </c>
    </row>
  </sheetData>
  <mergeCells count="2">
    <mergeCell ref="A4:C4"/>
    <mergeCell ref="A11:C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6" customWidth="1" min="3" max="3"/>
    <col width="42" customWidth="1" min="4" max="4"/>
    <col width="41" customWidth="1" min="5" max="5"/>
    <col width="23" customWidth="1" min="6" max="6"/>
    <col width="60" customWidth="1" min="7" max="7"/>
  </cols>
  <sheetData>
    <row r="1">
      <c r="A1" s="12" t="inlineStr">
        <is>
          <t>ID</t>
        </is>
      </c>
      <c r="B1" s="13" t="inlineStr">
        <is>
          <t>Título da Fonte</t>
        </is>
      </c>
      <c r="C1" s="12" t="inlineStr">
        <is>
          <t>Tipo de Mídia</t>
        </is>
      </c>
      <c r="D1" s="13" t="inlineStr">
        <is>
          <t>Instituição / Veículo</t>
        </is>
      </c>
      <c r="E1" s="13" t="inlineStr">
        <is>
          <t>Eixo Temático Principal</t>
        </is>
      </c>
      <c r="F1" s="12" t="inlineStr">
        <is>
          <t>Status da Fonte</t>
        </is>
      </c>
      <c r="G1" s="13" t="inlineStr">
        <is>
          <t>Link / Referência de Acesso</t>
        </is>
      </c>
    </row>
    <row r="2">
      <c r="A2" s="14" t="inlineStr">
        <is>
          <t>SRC-001</t>
        </is>
      </c>
      <c r="B2" s="15" t="inlineStr">
        <is>
          <t>'O Homem de Ouro': A controversa jornada de Mariel Mariscot chega às telonas</t>
        </is>
      </c>
      <c r="C2" s="14" t="inlineStr">
        <is>
          <t>Web URL</t>
        </is>
      </c>
      <c r="D2" s="15" t="inlineStr">
        <is>
          <t>Revista / Imprensa Cinema</t>
        </is>
      </c>
      <c r="E2" s="15" t="inlineStr">
        <is>
          <t>Esquadrões da Morte &amp; Parastatalidade</t>
        </is>
      </c>
      <c r="F2" s="14" t="inlineStr">
        <is>
          <t>Disponível no Acervo</t>
        </is>
      </c>
      <c r="G2" s="15" t="inlineStr">
        <is>
          <t>Pesquisa / Portal: Revista / Imprensa Cinema</t>
        </is>
      </c>
    </row>
    <row r="3">
      <c r="A3" s="16" t="inlineStr">
        <is>
          <t>SRC-002</t>
        </is>
      </c>
      <c r="B3" s="17" t="inlineStr">
        <is>
          <t>225481 - Relatório Técnico e Estatístico de Segurança Pública</t>
        </is>
      </c>
      <c r="C3" s="16" t="inlineStr">
        <is>
          <t>Web URL</t>
        </is>
      </c>
      <c r="D3" s="17" t="inlineStr">
        <is>
          <t>Governo / Repositório Oficial</t>
        </is>
      </c>
      <c r="E3" s="17" t="inlineStr">
        <is>
          <t>Segurança Pública &amp; Estatísticas</t>
        </is>
      </c>
      <c r="F3" s="16" t="inlineStr">
        <is>
          <t>Disponível no Acervo</t>
        </is>
      </c>
      <c r="G3" s="17" t="inlineStr">
        <is>
          <t>Pesquisa / Portal: Governo / Repositório Oficial</t>
        </is>
      </c>
    </row>
    <row r="4">
      <c r="A4" s="14" t="inlineStr">
        <is>
          <t>SRC-003</t>
        </is>
      </c>
      <c r="B4" s="15" t="inlineStr">
        <is>
          <t>A Acumulação Social da Violência no Rio de Janeiro</t>
        </is>
      </c>
      <c r="C4" s="14" t="inlineStr">
        <is>
          <t>Web URL</t>
        </is>
      </c>
      <c r="D4" s="15" t="inlineStr">
        <is>
          <t>SciELO / Michel Misse</t>
        </is>
      </c>
      <c r="E4" s="15" t="inlineStr">
        <is>
          <t>Fundamentos Teóricos &amp; Sociologia</t>
        </is>
      </c>
      <c r="F4" s="14" t="inlineStr">
        <is>
          <t>Disponível no Acervo</t>
        </is>
      </c>
      <c r="G4" s="15" t="inlineStr">
        <is>
          <t>Pesquisa / Portal: SciELO / Michel Misse</t>
        </is>
      </c>
    </row>
    <row r="5">
      <c r="A5" s="16" t="inlineStr">
        <is>
          <t>SRC-004</t>
        </is>
      </c>
      <c r="B5" s="17" t="inlineStr">
        <is>
          <t>A EVIDÊNCIA DA ESTRUTURA PRODUTIVA OCA: O ESTADO DO RIO DE JANEIRO COMO UM DOS EPICENTROS DA DESINDUSTRIALIZAÇÃO NACIONAL</t>
        </is>
      </c>
      <c r="C5" s="16" t="inlineStr">
        <is>
          <t>Documento PDF</t>
        </is>
      </c>
      <c r="D5" s="17" t="inlineStr">
        <is>
          <t>UFRJ / FGV IBRE (Bruno Sobral)</t>
        </is>
      </c>
      <c r="E5" s="17" t="inlineStr">
        <is>
          <t>Economia &amp; Desindustrialização</t>
        </is>
      </c>
      <c r="F5" s="16" t="inlineStr">
        <is>
          <t>Disponível no Acervo</t>
        </is>
      </c>
      <c r="G5" s="17" t="inlineStr">
        <is>
          <t>Acervo Digital PDF: A EVIDÊNCIA DA ESTRUTURA PRODUTIVA OCA: O ESTADO DO RIO DE JANEIRO COMO UM DOS EPICENTROS DA DESINDUSTRIALIZAÇÃO NACIONAL</t>
        </is>
      </c>
    </row>
    <row r="6">
      <c r="A6" s="14" t="inlineStr">
        <is>
          <t>SRC-005</t>
        </is>
      </c>
      <c r="B6" s="15" t="inlineStr">
        <is>
          <t>A SITUAÇÃO ATUAL DA MILÍCIA | Instituto de Estudos Comparados em Administração de Conflitos - INCT-InEAC</t>
        </is>
      </c>
      <c r="C6" s="14" t="inlineStr">
        <is>
          <t>Web URL</t>
        </is>
      </c>
      <c r="D6" s="15" t="inlineStr">
        <is>
          <t>INCT-InEAC / UFF</t>
        </is>
      </c>
      <c r="E6" s="15" t="inlineStr">
        <is>
          <t>Milícias &amp; Governança Armada</t>
        </is>
      </c>
      <c r="F6" s="14" t="inlineStr">
        <is>
          <t>Disponível no Acervo</t>
        </is>
      </c>
      <c r="G6" s="15" t="inlineStr">
        <is>
          <t>Pesquisa / Portal: INCT-InEAC / UFF</t>
        </is>
      </c>
    </row>
    <row r="7">
      <c r="A7" s="16" t="inlineStr">
        <is>
          <t>SRC-006</t>
        </is>
      </c>
      <c r="B7" s="17" t="inlineStr">
        <is>
          <t>A antiga capital é cada vez mais esvaziada - SINFRERJ</t>
        </is>
      </c>
      <c r="C7" s="16" t="inlineStr">
        <is>
          <t>Web URL</t>
        </is>
      </c>
      <c r="D7" s="17" t="inlineStr">
        <is>
          <t>SINFRERJ</t>
        </is>
      </c>
      <c r="E7" s="17" t="inlineStr">
        <is>
          <t>Economia &amp; Desindustrialização</t>
        </is>
      </c>
      <c r="F7" s="16" t="inlineStr">
        <is>
          <t>Disponível no Acervo</t>
        </is>
      </c>
      <c r="G7" s="17" t="inlineStr">
        <is>
          <t>Pesquisa / Portal: SINFRERJ</t>
        </is>
      </c>
    </row>
    <row r="8">
      <c r="A8" s="14" t="inlineStr">
        <is>
          <t>SRC-007</t>
        </is>
      </c>
      <c r="B8" s="15" t="inlineStr">
        <is>
          <t>A deterioração da indústria de transformação do Rio de Janeiro - Blog do IBRE</t>
        </is>
      </c>
      <c r="C8" s="14" t="inlineStr">
        <is>
          <t>Web URL</t>
        </is>
      </c>
      <c r="D8" s="15" t="inlineStr">
        <is>
          <t>FGV IBRE</t>
        </is>
      </c>
      <c r="E8" s="15" t="inlineStr">
        <is>
          <t>Economia &amp; Desindustrialização</t>
        </is>
      </c>
      <c r="F8" s="14" t="inlineStr">
        <is>
          <t>Disponível no Acervo</t>
        </is>
      </c>
      <c r="G8" s="15" t="inlineStr">
        <is>
          <t>Pesquisa / Portal: FGV IBRE</t>
        </is>
      </c>
    </row>
    <row r="9">
      <c r="A9" s="16" t="inlineStr">
        <is>
          <t>SRC-008</t>
        </is>
      </c>
      <c r="B9" s="17" t="inlineStr">
        <is>
          <t>A letalidade policial no estado do Rio de Janeiro e o impacto da ADPF das favelas</t>
        </is>
      </c>
      <c r="C9" s="16" t="inlineStr">
        <is>
          <t>Web URL</t>
        </is>
      </c>
      <c r="D9" s="17" t="inlineStr">
        <is>
          <t>JOTA / SciELO</t>
        </is>
      </c>
      <c r="E9" s="17" t="inlineStr">
        <is>
          <t>Letalidade Policial &amp; ADPF 635</t>
        </is>
      </c>
      <c r="F9" s="16" t="inlineStr">
        <is>
          <t>Disponível no Acervo</t>
        </is>
      </c>
      <c r="G9" s="17" t="inlineStr">
        <is>
          <t>Pesquisa / Portal: JOTA / SciELO</t>
        </is>
      </c>
    </row>
    <row r="10">
      <c r="A10" s="14" t="inlineStr">
        <is>
          <t>SRC-009</t>
        </is>
      </c>
      <c r="B10" s="15" t="inlineStr">
        <is>
          <t>A perda de poder dos Picciani após a Lava-Jato - Senado</t>
        </is>
      </c>
      <c r="C10" s="14" t="inlineStr">
        <is>
          <t>Web URL</t>
        </is>
      </c>
      <c r="D10" s="15" t="inlineStr">
        <is>
          <t>Senado Federal</t>
        </is>
      </c>
      <c r="E10" s="15" t="inlineStr">
        <is>
          <t>Corrupção &amp; Política Fluminense</t>
        </is>
      </c>
      <c r="F10" s="14" t="inlineStr">
        <is>
          <t>Disponível no Acervo</t>
        </is>
      </c>
      <c r="G10" s="15" t="inlineStr">
        <is>
          <t>Pesquisa / Portal: Senado Federal</t>
        </is>
      </c>
    </row>
    <row r="11">
      <c r="A11" s="16" t="inlineStr">
        <is>
          <t>SRC-010</t>
        </is>
      </c>
      <c r="B11" s="17" t="inlineStr">
        <is>
          <t>A relação entre os Brazão, Rivaldo Barbosa, o crime organizado e as milícias no caso Marielle | Brasil de Fato</t>
        </is>
      </c>
      <c r="C11" s="16" t="inlineStr">
        <is>
          <t>Web URL</t>
        </is>
      </c>
      <c r="D11" s="17" t="inlineStr">
        <is>
          <t>Brasil de Fato</t>
        </is>
      </c>
      <c r="E11" s="17" t="inlineStr">
        <is>
          <t>Caso Marielle &amp; Conexões Políticas</t>
        </is>
      </c>
      <c r="F11" s="16" t="inlineStr">
        <is>
          <t>Disponível no Acervo</t>
        </is>
      </c>
      <c r="G11" s="17" t="inlineStr">
        <is>
          <t>Pesquisa / Portal: Brasil de Fato</t>
        </is>
      </c>
    </row>
    <row r="12">
      <c r="A12" s="14" t="inlineStr">
        <is>
          <t>SRC-011</t>
        </is>
      </c>
      <c r="B12" s="15" t="inlineStr">
        <is>
          <t>ABORDAGENS DA HISTÓRIA DAS FACÇÕES CRIMINAIS DO RIO DE JANEIRO NA LITERATURA CIENTÍFICA: UMA REVISÃO DE ESCOPO - SciELO Preprints (Part 1)</t>
        </is>
      </c>
      <c r="C12" s="14" t="inlineStr">
        <is>
          <t>Documento PDF</t>
        </is>
      </c>
      <c r="D12" s="15" t="inlineStr">
        <is>
          <t>SciELO Preprints</t>
        </is>
      </c>
      <c r="E12" s="15" t="inlineStr">
        <is>
          <t>História das Facções do Tráfico</t>
        </is>
      </c>
      <c r="F12" s="14" t="inlineStr">
        <is>
          <t>Disponível no Acervo</t>
        </is>
      </c>
      <c r="G12" s="15" t="inlineStr">
        <is>
          <t>Acervo Digital PDF: ABORDAGENS DA HISTÓRIA DAS FACÇÕES CRIMINAIS DO RIO DE JANEIRO NA LITERATURA CIENTÍFICA: UMA REVISÃO DE ESCOPO - SciELO Preprints (Part 1)</t>
        </is>
      </c>
    </row>
    <row r="13">
      <c r="A13" s="16" t="inlineStr">
        <is>
          <t>SRC-012</t>
        </is>
      </c>
      <c r="B13" s="17" t="inlineStr">
        <is>
          <t>ABORDAGENS DA HISTÓRIA DAS FACÇÕES CRIMINAIS DO RIO DE JANEIRO NA LITERATURA CIENTÍFICA: UMA REVISÃO DE ESCOPO - SciELO Preprints (Part 2)</t>
        </is>
      </c>
      <c r="C13" s="16" t="inlineStr">
        <is>
          <t>Documento PDF</t>
        </is>
      </c>
      <c r="D13" s="17" t="inlineStr">
        <is>
          <t>SciELO Preprints</t>
        </is>
      </c>
      <c r="E13" s="17" t="inlineStr">
        <is>
          <t>História das Facções do Tráfico</t>
        </is>
      </c>
      <c r="F13" s="16" t="inlineStr">
        <is>
          <t>Disponível no Acervo</t>
        </is>
      </c>
      <c r="G13" s="17" t="inlineStr">
        <is>
          <t>Acervo Digital PDF: ABORDAGENS DA HISTÓRIA DAS FACÇÕES CRIMINAIS DO RIO DE JANEIRO NA LITERATURA CIENTÍFICA: UMA REVISÃO DE ESCOPO - SciELO Preprints (Part 2)</t>
        </is>
      </c>
    </row>
    <row r="14">
      <c r="A14" s="14" t="inlineStr">
        <is>
          <t>SRC-013</t>
        </is>
      </c>
      <c r="B14" s="15" t="inlineStr">
        <is>
          <t>ABORDAGENS DA HISTÓRIA DAS FACÇÕES CRIMINAIS DO RIO DE JANEIRO NA LITERATURA CIENTÍFICA: UMA REVISÃO DE ESCOPO - SciELO Preprints (Part 3)</t>
        </is>
      </c>
      <c r="C14" s="14" t="inlineStr">
        <is>
          <t>Documento PDF</t>
        </is>
      </c>
      <c r="D14" s="15" t="inlineStr">
        <is>
          <t>SciELO Preprints</t>
        </is>
      </c>
      <c r="E14" s="15" t="inlineStr">
        <is>
          <t>História das Facções do Tráfico</t>
        </is>
      </c>
      <c r="F14" s="14" t="inlineStr">
        <is>
          <t>Disponível no Acervo</t>
        </is>
      </c>
      <c r="G14" s="15" t="inlineStr">
        <is>
          <t>Acervo Digital PDF: ABORDAGENS DA HISTÓRIA DAS FACÇÕES CRIMINAIS DO RIO DE JANEIRO NA LITERATURA CIENTÍFICA: UMA REVISÃO DE ESCOPO - SciELO Preprints (Part 3)</t>
        </is>
      </c>
    </row>
    <row r="15">
      <c r="A15" s="16" t="inlineStr">
        <is>
          <t>SRC-014</t>
        </is>
      </c>
      <c r="B15" s="17" t="inlineStr">
        <is>
          <t>ADPF 635 - MPRJ</t>
        </is>
      </c>
      <c r="C15" s="16" t="inlineStr">
        <is>
          <t>Web URL</t>
        </is>
      </c>
      <c r="D15" s="17" t="inlineStr">
        <is>
          <t>Ministério Público do Estado do RJ</t>
        </is>
      </c>
      <c r="E15" s="17" t="inlineStr">
        <is>
          <t>Letalidade Policial &amp; ADPF 635</t>
        </is>
      </c>
      <c r="F15" s="16" t="inlineStr">
        <is>
          <t>Disponível no Acervo</t>
        </is>
      </c>
      <c r="G15" s="17" t="inlineStr">
        <is>
          <t>Pesquisa / Portal: Ministério Público do Estado do RJ</t>
        </is>
      </c>
    </row>
    <row r="16">
      <c r="A16" s="14" t="inlineStr">
        <is>
          <t>SRC-015</t>
        </is>
      </c>
      <c r="B16" s="15" t="inlineStr">
        <is>
          <t>ADPF 635 e o colapso da segurança pública no Rio de Janeiro - JOTA</t>
        </is>
      </c>
      <c r="C16" s="14" t="inlineStr">
        <is>
          <t>Web URL</t>
        </is>
      </c>
      <c r="D16" s="15" t="inlineStr">
        <is>
          <t>JOTA Portal Jurídico</t>
        </is>
      </c>
      <c r="E16" s="15" t="inlineStr">
        <is>
          <t>Letalidade Policial &amp; ADPF 635</t>
        </is>
      </c>
      <c r="F16" s="14" t="inlineStr">
        <is>
          <t>Disponível no Acervo</t>
        </is>
      </c>
      <c r="G16" s="15" t="inlineStr">
        <is>
          <t>Pesquisa / Portal: JOTA Portal Jurídico</t>
        </is>
      </c>
    </row>
    <row r="17">
      <c r="A17" s="16" t="inlineStr">
        <is>
          <t>SRC-016</t>
        </is>
      </c>
      <c r="B17" s="17" t="inlineStr">
        <is>
          <t>ADPF das Favelas: análise crítica do julgamento e impactos para a segurança pública</t>
        </is>
      </c>
      <c r="C17" s="16" t="inlineStr">
        <is>
          <t>Web URL</t>
        </is>
      </c>
      <c r="D17" s="17" t="inlineStr">
        <is>
          <t>Rede de Observatórios de Segurança</t>
        </is>
      </c>
      <c r="E17" s="17" t="inlineStr">
        <is>
          <t>Letalidade Policial &amp; ADPF 635</t>
        </is>
      </c>
      <c r="F17" s="16" t="inlineStr">
        <is>
          <t>Disponível no Acervo</t>
        </is>
      </c>
      <c r="G17" s="17" t="inlineStr">
        <is>
          <t>Pesquisa / Portal: Rede de Observatórios de Segurança</t>
        </is>
      </c>
    </row>
    <row r="18">
      <c r="A18" s="14" t="inlineStr">
        <is>
          <t>SRC-017</t>
        </is>
      </c>
      <c r="B18" s="15" t="inlineStr">
        <is>
          <t>Abordagens da história das facções criminais do Rio de Janeiro na literatura científica: uma revisão de escopo* - Revista UFRJ</t>
        </is>
      </c>
      <c r="C18" s="14" t="inlineStr">
        <is>
          <t>Documento PDF</t>
        </is>
      </c>
      <c r="D18" s="15" t="inlineStr">
        <is>
          <t>Revista UFRJ</t>
        </is>
      </c>
      <c r="E18" s="15" t="inlineStr">
        <is>
          <t>História das Facções do Tráfico</t>
        </is>
      </c>
      <c r="F18" s="14" t="inlineStr">
        <is>
          <t>Disponível no Acervo</t>
        </is>
      </c>
      <c r="G18" s="15" t="inlineStr">
        <is>
          <t>Acervo Digital PDF: Abordagens da história das facções criminais do Rio de Janeiro na literatura científica: uma revisão de escopo* - Revista UFRJ</t>
        </is>
      </c>
    </row>
    <row r="19">
      <c r="A19" s="16" t="inlineStr">
        <is>
          <t>SRC-018</t>
        </is>
      </c>
      <c r="B19" s="17" t="inlineStr">
        <is>
          <t>Acumulação urbana ilícita e acumulação social da violência: o marco de poder espoliativo no Estado do Rio Janeiro - Observatório das Metrópoles</t>
        </is>
      </c>
      <c r="C19" s="16" t="inlineStr">
        <is>
          <t>Web URL</t>
        </is>
      </c>
      <c r="D19" s="17" t="inlineStr">
        <is>
          <t>Observatório das Metrópoles</t>
        </is>
      </c>
      <c r="E19" s="17" t="inlineStr">
        <is>
          <t>Fundamentos Teóricos &amp; Sociologia</t>
        </is>
      </c>
      <c r="F19" s="16" t="inlineStr">
        <is>
          <t>Disponível no Acervo</t>
        </is>
      </c>
      <c r="G19" s="17" t="inlineStr">
        <is>
          <t>Pesquisa / Portal: Observatório das Metrópoles</t>
        </is>
      </c>
    </row>
    <row r="20">
      <c r="A20" s="14" t="inlineStr">
        <is>
          <t>SRC-019</t>
        </is>
      </c>
      <c r="B20" s="15" t="inlineStr">
        <is>
          <t>Agentes de segurança pública criticam na Câmara ação para reduzir letalidade nas favelas</t>
        </is>
      </c>
      <c r="C20" s="14" t="inlineStr">
        <is>
          <t>Web URL</t>
        </is>
      </c>
      <c r="D20" s="15" t="inlineStr">
        <is>
          <t>Câmara dos Deputados</t>
        </is>
      </c>
      <c r="E20" s="15" t="inlineStr">
        <is>
          <t>Letalidade Policial &amp; ADPF 635</t>
        </is>
      </c>
      <c r="F20" s="14" t="inlineStr">
        <is>
          <t>Disponível no Acervo</t>
        </is>
      </c>
      <c r="G20" s="15" t="inlineStr">
        <is>
          <t>Pesquisa / Portal: Câmara dos Deputados</t>
        </is>
      </c>
    </row>
    <row r="21">
      <c r="A21" s="16" t="inlineStr">
        <is>
          <t>SRC-020</t>
        </is>
      </c>
      <c r="B21" s="17" t="inlineStr">
        <is>
          <t>Alba Zaluar (pesquisadora) - Dicionário de Favelas Marielle Franco</t>
        </is>
      </c>
      <c r="C21" s="16" t="inlineStr">
        <is>
          <t>Web URL</t>
        </is>
      </c>
      <c r="D21" s="17" t="inlineStr">
        <is>
          <t>Dicionário de Favelas Marielle Franco</t>
        </is>
      </c>
      <c r="E21" s="17" t="inlineStr">
        <is>
          <t>Antropologia Urbana &amp; Alba Zaluar</t>
        </is>
      </c>
      <c r="F21" s="16" t="inlineStr">
        <is>
          <t>Disponível no Acervo</t>
        </is>
      </c>
      <c r="G21" s="17" t="inlineStr">
        <is>
          <t>Pesquisa / Portal: Dicionário de Favelas Marielle Franco</t>
        </is>
      </c>
    </row>
    <row r="22">
      <c r="A22" s="14" t="inlineStr">
        <is>
          <t>SRC-021</t>
        </is>
      </c>
      <c r="B22" s="15" t="inlineStr">
        <is>
          <t>Anais do Quarto URBfavelas: Seminário Internacional de Urbanização de Favelas - Even3</t>
        </is>
      </c>
      <c r="C22" s="14" t="inlineStr">
        <is>
          <t>Web URL</t>
        </is>
      </c>
      <c r="D22" s="15" t="inlineStr">
        <is>
          <t>Even3 / URBfavelas</t>
        </is>
      </c>
      <c r="E22" s="15" t="inlineStr">
        <is>
          <t>Urbanismo &amp; Favelas</t>
        </is>
      </c>
      <c r="F22" s="14" t="inlineStr">
        <is>
          <t>Disponível no Acervo</t>
        </is>
      </c>
      <c r="G22" s="15" t="inlineStr">
        <is>
          <t>Pesquisa / Portal: Even3 / URBfavelas</t>
        </is>
      </c>
    </row>
    <row r="23">
      <c r="A23" s="16" t="inlineStr">
        <is>
          <t>SRC-022</t>
        </is>
      </c>
      <c r="B23" s="17" t="inlineStr">
        <is>
          <t>Antropóloga da violência : Revista Pesquisa Fapesp</t>
        </is>
      </c>
      <c r="C23" s="16" t="inlineStr">
        <is>
          <t>Web URL</t>
        </is>
      </c>
      <c r="D23" s="17" t="inlineStr">
        <is>
          <t>Revista Pesquisa FAPESP</t>
        </is>
      </c>
      <c r="E23" s="17" t="inlineStr">
        <is>
          <t>Antropologia Urbana &amp; Alba Zaluar</t>
        </is>
      </c>
      <c r="F23" s="16" t="inlineStr">
        <is>
          <t>Disponível no Acervo</t>
        </is>
      </c>
      <c r="G23" s="17" t="inlineStr">
        <is>
          <t>Pesquisa / Portal: Revista Pesquisa FAPESP</t>
        </is>
      </c>
    </row>
    <row r="24">
      <c r="A24" s="14" t="inlineStr">
        <is>
          <t>SRC-023</t>
        </is>
      </c>
      <c r="B24" s="15" t="inlineStr">
        <is>
          <t>As opções político-institucionais que reforçam a continuidade do Estado de Coisas Inconstitucional na Segurança Pública do Rio de Janeiro</t>
        </is>
      </c>
      <c r="C24" s="14" t="inlineStr">
        <is>
          <t>Documento PDF</t>
        </is>
      </c>
      <c r="D24" s="15" t="inlineStr">
        <is>
          <t>IDP / SciELO</t>
        </is>
      </c>
      <c r="E24" s="15" t="inlineStr">
        <is>
          <t>Letalidade Policial &amp; ADPF 635</t>
        </is>
      </c>
      <c r="F24" s="14" t="inlineStr">
        <is>
          <t>Disponível no Acervo</t>
        </is>
      </c>
      <c r="G24" s="15" t="inlineStr">
        <is>
          <t>Acervo Digital PDF: As opções político-institucionais que reforçam a continuidade do Estado de Coisas Inconstitucional na Segurança Pública do Rio de Janeiro</t>
        </is>
      </c>
    </row>
    <row r="25">
      <c r="A25" s="16" t="inlineStr">
        <is>
          <t>SRC-024</t>
        </is>
      </c>
      <c r="B25" s="17" t="inlineStr">
        <is>
          <t>Ações policiais no Rio de Janeiro juntam brutalidade com ineficiência, critica pesquisador</t>
        </is>
      </c>
      <c r="C25" s="16" t="inlineStr">
        <is>
          <t>Web URL</t>
        </is>
      </c>
      <c r="D25" s="17" t="inlineStr">
        <is>
          <t>Imprensa Universitária / UFF</t>
        </is>
      </c>
      <c r="E25" s="17" t="inlineStr">
        <is>
          <t>Letalidade Policial &amp; ADPF 635</t>
        </is>
      </c>
      <c r="F25" s="16" t="inlineStr">
        <is>
          <t>Disponível no Acervo</t>
        </is>
      </c>
      <c r="G25" s="17" t="inlineStr">
        <is>
          <t>Pesquisa / Portal: Imprensa Universitária / UFF</t>
        </is>
      </c>
    </row>
    <row r="26">
      <c r="A26" s="14" t="inlineStr">
        <is>
          <t>SRC-025</t>
        </is>
      </c>
      <c r="B26" s="15" t="inlineStr">
        <is>
          <t>Brazilian militias - Wikipedia</t>
        </is>
      </c>
      <c r="C26" s="14" t="inlineStr">
        <is>
          <t>Web URL</t>
        </is>
      </c>
      <c r="D26" s="15" t="inlineStr">
        <is>
          <t>Wikipedia</t>
        </is>
      </c>
      <c r="E26" s="15" t="inlineStr">
        <is>
          <t>Milícias &amp; Governança Armada</t>
        </is>
      </c>
      <c r="F26" s="14" t="inlineStr">
        <is>
          <t>Disponível no Acervo</t>
        </is>
      </c>
      <c r="G26" s="15" t="inlineStr">
        <is>
          <t>Pesquisa / Portal: Wikipedia</t>
        </is>
      </c>
    </row>
    <row r="27">
      <c r="A27" s="16" t="inlineStr">
        <is>
          <t>SRC-026</t>
        </is>
      </c>
      <c r="B27" s="17" t="inlineStr">
        <is>
          <t>Castro amplia série de governadores do RJ afetados por escândalos nos últimos 30 anos</t>
        </is>
      </c>
      <c r="C27" s="16" t="inlineStr">
        <is>
          <t>Web URL</t>
        </is>
      </c>
      <c r="D27" s="17" t="inlineStr">
        <is>
          <t>G1 / CNN Brasil</t>
        </is>
      </c>
      <c r="E27" s="17" t="inlineStr">
        <is>
          <t>Corrupção &amp; Política Fluminense</t>
        </is>
      </c>
      <c r="F27" s="16" t="inlineStr">
        <is>
          <t>Disponível no Acervo</t>
        </is>
      </c>
      <c r="G27" s="17" t="inlineStr">
        <is>
          <t>Pesquisa / Portal: G1 / CNN Brasil</t>
        </is>
      </c>
    </row>
    <row r="28">
      <c r="A28" s="14" t="inlineStr">
        <is>
          <t>SRC-027</t>
        </is>
      </c>
      <c r="B28" s="15" t="inlineStr">
        <is>
          <t>Chacinas no Rio de Janeiro entre 2023 e 2026 - Dicionário de Favelas Marielle Franco</t>
        </is>
      </c>
      <c r="C28" s="14" t="inlineStr">
        <is>
          <t>Web URL</t>
        </is>
      </c>
      <c r="D28" s="15" t="inlineStr">
        <is>
          <t>Dicionário de Favelas Marielle Franco</t>
        </is>
      </c>
      <c r="E28" s="15" t="inlineStr">
        <is>
          <t>Letalidade Policial &amp; Chacinas</t>
        </is>
      </c>
      <c r="F28" s="14" t="inlineStr">
        <is>
          <t>Disponível no Acervo</t>
        </is>
      </c>
      <c r="G28" s="15" t="inlineStr">
        <is>
          <t>Pesquisa / Portal: Dicionário de Favelas Marielle Franco</t>
        </is>
      </c>
    </row>
    <row r="29">
      <c r="A29" s="16" t="inlineStr">
        <is>
          <t>SRC-028</t>
        </is>
      </c>
      <c r="B29" s="17" t="inlineStr">
        <is>
          <t>Cidadãos de bem e sujeitos criminais: a construção de oposições na acumulação social da violência no Rio de Janeiro - SciELO</t>
        </is>
      </c>
      <c r="C29" s="16" t="inlineStr">
        <is>
          <t>Web URL</t>
        </is>
      </c>
      <c r="D29" s="17" t="inlineStr">
        <is>
          <t>SciELO (Michel Misse)</t>
        </is>
      </c>
      <c r="E29" s="17" t="inlineStr">
        <is>
          <t>Fundamentos Teóricos &amp; Sociologia</t>
        </is>
      </c>
      <c r="F29" s="16" t="inlineStr">
        <is>
          <t>Disponível no Acervo</t>
        </is>
      </c>
      <c r="G29" s="17" t="inlineStr">
        <is>
          <t>Pesquisa / Portal: SciELO (Michel Misse)</t>
        </is>
      </c>
    </row>
    <row r="30">
      <c r="A30" s="14" t="inlineStr">
        <is>
          <t>SRC-029</t>
        </is>
      </c>
      <c r="B30" s="15" t="inlineStr">
        <is>
          <t>Cinco anos de UPP: Um breve balanço - Revista UFRJ (Doc 1)</t>
        </is>
      </c>
      <c r="C30" s="14" t="inlineStr">
        <is>
          <t>Documento PDF</t>
        </is>
      </c>
      <c r="D30" s="15" t="inlineStr">
        <is>
          <t>Revista UFRJ</t>
        </is>
      </c>
      <c r="E30" s="15" t="inlineStr">
        <is>
          <t>Políticas de Segurança &amp; UPPs</t>
        </is>
      </c>
      <c r="F30" s="14" t="inlineStr">
        <is>
          <t>Disponível no Acervo</t>
        </is>
      </c>
      <c r="G30" s="15" t="inlineStr">
        <is>
          <t>Acervo Digital PDF: Cinco anos de UPP: Um breve balanço - Revista UFRJ (Doc 1)</t>
        </is>
      </c>
    </row>
    <row r="31">
      <c r="A31" s="16" t="inlineStr">
        <is>
          <t>SRC-030</t>
        </is>
      </c>
      <c r="B31" s="17" t="inlineStr">
        <is>
          <t>Cinco anos de UPP: Um breve balanço - Revista UFRJ (Doc 2)</t>
        </is>
      </c>
      <c r="C31" s="16" t="inlineStr">
        <is>
          <t>Documento PDF</t>
        </is>
      </c>
      <c r="D31" s="17" t="inlineStr">
        <is>
          <t>Revista UFRJ</t>
        </is>
      </c>
      <c r="E31" s="17" t="inlineStr">
        <is>
          <t>Políticas de Segurança &amp; UPPs</t>
        </is>
      </c>
      <c r="F31" s="16" t="inlineStr">
        <is>
          <t>Disponível no Acervo</t>
        </is>
      </c>
      <c r="G31" s="17" t="inlineStr">
        <is>
          <t>Acervo Digital PDF: Cinco anos de UPP: Um breve balanço - Revista UFRJ (Doc 2)</t>
        </is>
      </c>
    </row>
    <row r="32">
      <c r="A32" s="14" t="inlineStr">
        <is>
          <t>SRC-031</t>
        </is>
      </c>
      <c r="B32" s="15" t="inlineStr">
        <is>
          <t>Cinco anos de UPP: Um breve balanço - Revista UFRJ (Doc 3)</t>
        </is>
      </c>
      <c r="C32" s="14" t="inlineStr">
        <is>
          <t>Documento PDF</t>
        </is>
      </c>
      <c r="D32" s="15" t="inlineStr">
        <is>
          <t>Revista UFRJ</t>
        </is>
      </c>
      <c r="E32" s="15" t="inlineStr">
        <is>
          <t>Políticas de Segurança &amp; UPPs</t>
        </is>
      </c>
      <c r="F32" s="14" t="inlineStr">
        <is>
          <t>Disponível no Acervo</t>
        </is>
      </c>
      <c r="G32" s="15" t="inlineStr">
        <is>
          <t>Acervo Digital PDF: Cinco anos de UPP: Um breve balanço - Revista UFRJ (Doc 3)</t>
        </is>
      </c>
    </row>
    <row r="33">
      <c r="A33" s="16" t="inlineStr">
        <is>
          <t>SRC-032</t>
        </is>
      </c>
      <c r="B33" s="17" t="inlineStr">
        <is>
          <t>Cinco anos de UPP: Um breve balanço - Revista UFRJ (Doc 4)</t>
        </is>
      </c>
      <c r="C33" s="16" t="inlineStr">
        <is>
          <t>Documento PDF</t>
        </is>
      </c>
      <c r="D33" s="17" t="inlineStr">
        <is>
          <t>Revista UFRJ</t>
        </is>
      </c>
      <c r="E33" s="17" t="inlineStr">
        <is>
          <t>Políticas de Segurança &amp; UPPs</t>
        </is>
      </c>
      <c r="F33" s="16" t="inlineStr">
        <is>
          <t>Disponível no Acervo</t>
        </is>
      </c>
      <c r="G33" s="17" t="inlineStr">
        <is>
          <t>Acervo Digital PDF: Cinco anos de UPP: Um breve balanço - Revista UFRJ (Doc 4)</t>
        </is>
      </c>
    </row>
    <row r="34">
      <c r="A34" s="14" t="inlineStr">
        <is>
          <t>SRC-033</t>
        </is>
      </c>
      <c r="B34" s="15" t="inlineStr">
        <is>
          <t>Cláudio Castro – Wikipédia, a enciclopédia livre</t>
        </is>
      </c>
      <c r="C34" s="14" t="inlineStr">
        <is>
          <t>Web URL</t>
        </is>
      </c>
      <c r="D34" s="15" t="inlineStr">
        <is>
          <t>Wikipédia</t>
        </is>
      </c>
      <c r="E34" s="15" t="inlineStr">
        <is>
          <t>Corrupção &amp; Política Fluminense</t>
        </is>
      </c>
      <c r="F34" s="14" t="inlineStr">
        <is>
          <t>Disponível no Acervo</t>
        </is>
      </c>
      <c r="G34" s="15" t="inlineStr">
        <is>
          <t>Pesquisa / Portal: Wikipédia</t>
        </is>
      </c>
    </row>
    <row r="35">
      <c r="A35" s="16" t="inlineStr">
        <is>
          <t>SRC-034</t>
        </is>
      </c>
      <c r="B35" s="17" t="inlineStr">
        <is>
          <t>Comando Vermelho avança e um terço da Região Metropolitana do Rio vive sob domínio do crime - Revista Veja</t>
        </is>
      </c>
      <c r="C35" s="16" t="inlineStr">
        <is>
          <t>Web URL</t>
        </is>
      </c>
      <c r="D35" s="17" t="inlineStr">
        <is>
          <t>Revista Veja</t>
        </is>
      </c>
      <c r="E35" s="17" t="inlineStr">
        <is>
          <t>Dinâmica Territorial &amp; Facções</t>
        </is>
      </c>
      <c r="F35" s="16" t="inlineStr">
        <is>
          <t>Disponível no Acervo</t>
        </is>
      </c>
      <c r="G35" s="17" t="inlineStr">
        <is>
          <t>Pesquisa / Portal: Revista Veja</t>
        </is>
      </c>
    </row>
    <row r="36">
      <c r="A36" s="14" t="inlineStr">
        <is>
          <t>SRC-035</t>
        </is>
      </c>
      <c r="B36" s="15" t="inlineStr">
        <is>
          <t>Comando Vermelho – Wikipédia, a enciclopédia livre (Artigo Principal)</t>
        </is>
      </c>
      <c r="C36" s="14" t="inlineStr">
        <is>
          <t>Web URL</t>
        </is>
      </c>
      <c r="D36" s="15" t="inlineStr">
        <is>
          <t>Wikipédia</t>
        </is>
      </c>
      <c r="E36" s="15" t="inlineStr">
        <is>
          <t>História das Facções do Tráfico</t>
        </is>
      </c>
      <c r="F36" s="14" t="inlineStr">
        <is>
          <t>Disponível no Acervo</t>
        </is>
      </c>
      <c r="G36" s="15" t="inlineStr">
        <is>
          <t>Pesquisa / Portal: Wikipédia</t>
        </is>
      </c>
    </row>
    <row r="37">
      <c r="A37" s="16" t="inlineStr">
        <is>
          <t>SRC-036</t>
        </is>
      </c>
      <c r="B37" s="17" t="inlineStr">
        <is>
          <t>Comando Vermelho – Wikipédia, a enciclopédia livre (Documentação Histórica)</t>
        </is>
      </c>
      <c r="C37" s="16" t="inlineStr">
        <is>
          <t>Web URL</t>
        </is>
      </c>
      <c r="D37" s="17" t="inlineStr">
        <is>
          <t>Wikipédia</t>
        </is>
      </c>
      <c r="E37" s="17" t="inlineStr">
        <is>
          <t>História das Facções do Tráfico</t>
        </is>
      </c>
      <c r="F37" s="16" t="inlineStr">
        <is>
          <t>Disponível no Acervo</t>
        </is>
      </c>
      <c r="G37" s="17" t="inlineStr">
        <is>
          <t>Pesquisa / Portal: Wikipédia</t>
        </is>
      </c>
    </row>
    <row r="38">
      <c r="A38" s="14" t="inlineStr">
        <is>
          <t>SRC-037</t>
        </is>
      </c>
      <c r="B38" s="15" t="inlineStr">
        <is>
          <t>Comando Vermelho: como surgiu e se espalhou a maior facção do Rio | CNN 360°</t>
        </is>
      </c>
      <c r="C38" s="14" t="inlineStr">
        <is>
          <t>Vídeo YouTube</t>
        </is>
      </c>
      <c r="D38" s="15" t="inlineStr">
        <is>
          <t>CNN Brasil (YouTube)</t>
        </is>
      </c>
      <c r="E38" s="15" t="inlineStr">
        <is>
          <t>História das Facções do Tráfico</t>
        </is>
      </c>
      <c r="F38" s="14" t="inlineStr">
        <is>
          <t>Disponível no Acervo</t>
        </is>
      </c>
      <c r="G38" s="15" t="inlineStr">
        <is>
          <t>https://www.youtube.com/results?search_query=Comando+Vermelho:+como+surgiu+e+se+espalhou+a+maior+facção+do+Rio+|+CNN+360°</t>
        </is>
      </c>
    </row>
    <row r="39">
      <c r="A39" s="16" t="inlineStr">
        <is>
          <t>SRC-038</t>
        </is>
      </c>
      <c r="B39" s="17" t="inlineStr">
        <is>
          <t>Como o Bope virou o Bope - Ìrohìn</t>
        </is>
      </c>
      <c r="C39" s="16" t="inlineStr">
        <is>
          <t>Web URL</t>
        </is>
      </c>
      <c r="D39" s="17" t="inlineStr">
        <is>
          <t>Portal Ìrohìn</t>
        </is>
      </c>
      <c r="E39" s="17" t="inlineStr">
        <is>
          <t>Táticas Policiais &amp; BOPE</t>
        </is>
      </c>
      <c r="F39" s="16" t="inlineStr">
        <is>
          <t>Disponível no Acervo</t>
        </is>
      </c>
      <c r="G39" s="17" t="inlineStr">
        <is>
          <t>Pesquisa / Portal: Portal Ìrohìn</t>
        </is>
      </c>
    </row>
    <row r="40">
      <c r="A40" s="14" t="inlineStr">
        <is>
          <t>SRC-039</t>
        </is>
      </c>
      <c r="B40" s="15" t="inlineStr">
        <is>
          <t>Complexo de Israel – Wikipédia, a enciclopédia livre</t>
        </is>
      </c>
      <c r="C40" s="14" t="inlineStr">
        <is>
          <t>Web URL</t>
        </is>
      </c>
      <c r="D40" s="15" t="inlineStr">
        <is>
          <t>Wikipédia</t>
        </is>
      </c>
      <c r="E40" s="15" t="inlineStr">
        <is>
          <t>Dinâmica Territorial &amp; Facções</t>
        </is>
      </c>
      <c r="F40" s="14" t="inlineStr">
        <is>
          <t>Disponível no Acervo</t>
        </is>
      </c>
      <c r="G40" s="15" t="inlineStr">
        <is>
          <t>Pesquisa / Portal: Wikipédia</t>
        </is>
      </c>
    </row>
    <row r="41">
      <c r="A41" s="16" t="inlineStr">
        <is>
          <t>SRC-040</t>
        </is>
      </c>
      <c r="B41" s="17" t="inlineStr">
        <is>
          <t>Condomínio do diabo - Alba Zaluar - Skoob</t>
        </is>
      </c>
      <c r="C41" s="16" t="inlineStr">
        <is>
          <t>Web URL</t>
        </is>
      </c>
      <c r="D41" s="17" t="inlineStr">
        <is>
          <t>Skoob / Resenha Acadêmica</t>
        </is>
      </c>
      <c r="E41" s="17" t="inlineStr">
        <is>
          <t>Antropologia Urbana &amp; Alba Zaluar</t>
        </is>
      </c>
      <c r="F41" s="16" t="inlineStr">
        <is>
          <t>Disponível no Acervo</t>
        </is>
      </c>
      <c r="G41" s="17" t="inlineStr">
        <is>
          <t>Pesquisa / Portal: Skoob / Resenha Acadêmica</t>
        </is>
      </c>
    </row>
    <row r="42">
      <c r="A42" s="14" t="inlineStr">
        <is>
          <t>SRC-041</t>
        </is>
      </c>
      <c r="B42" s="15" t="inlineStr">
        <is>
          <t>Conflito entre facções criminosas brasileiras entre 2016 e 2020 - Wikipédia (Parte 1)</t>
        </is>
      </c>
      <c r="C42" s="14" t="inlineStr">
        <is>
          <t>Web URL</t>
        </is>
      </c>
      <c r="D42" s="15" t="inlineStr">
        <is>
          <t>Wikipédia</t>
        </is>
      </c>
      <c r="E42" s="15" t="inlineStr">
        <is>
          <t>Guerra de Facções &amp; PCC/CV</t>
        </is>
      </c>
      <c r="F42" s="14" t="inlineStr">
        <is>
          <t>Disponível no Acervo</t>
        </is>
      </c>
      <c r="G42" s="15" t="inlineStr">
        <is>
          <t>Pesquisa / Portal: Wikipédia</t>
        </is>
      </c>
    </row>
    <row r="43">
      <c r="A43" s="16" t="inlineStr">
        <is>
          <t>SRC-042</t>
        </is>
      </c>
      <c r="B43" s="17" t="inlineStr">
        <is>
          <t>Conflito entre facções criminosas brasileiras entre 2016 e 2020 - Wikipédia (Parte 2)</t>
        </is>
      </c>
      <c r="C43" s="16" t="inlineStr">
        <is>
          <t>Web URL</t>
        </is>
      </c>
      <c r="D43" s="17" t="inlineStr">
        <is>
          <t>Wikipédia</t>
        </is>
      </c>
      <c r="E43" s="17" t="inlineStr">
        <is>
          <t>Guerra de Facções &amp; PCC/CV</t>
        </is>
      </c>
      <c r="F43" s="16" t="inlineStr">
        <is>
          <t>Disponível no Acervo</t>
        </is>
      </c>
      <c r="G43" s="17" t="inlineStr">
        <is>
          <t>Pesquisa / Portal: Wikipédia</t>
        </is>
      </c>
    </row>
    <row r="44">
      <c r="A44" s="14" t="inlineStr">
        <is>
          <t>SRC-043</t>
        </is>
      </c>
      <c r="B44" s="15" t="inlineStr">
        <is>
          <t>Contra violência policial, favelas processam estado do Rio - Redes da Maré</t>
        </is>
      </c>
      <c r="C44" s="14" t="inlineStr">
        <is>
          <t>Web URL</t>
        </is>
      </c>
      <c r="D44" s="15" t="inlineStr">
        <is>
          <t>Redes da Maré</t>
        </is>
      </c>
      <c r="E44" s="15" t="inlineStr">
        <is>
          <t>Letalidade Policial &amp; ADPF 635</t>
        </is>
      </c>
      <c r="F44" s="14" t="inlineStr">
        <is>
          <t>Disponível no Acervo</t>
        </is>
      </c>
      <c r="G44" s="15" t="inlineStr">
        <is>
          <t>Pesquisa / Portal: Redes da Maré</t>
        </is>
      </c>
    </row>
    <row r="45">
      <c r="A45" s="16" t="inlineStr">
        <is>
          <t>SRC-044</t>
        </is>
      </c>
      <c r="B45" s="17" t="inlineStr">
        <is>
          <t>Crimes contra a paz pública para TJ-RN - Estratégia Concursos</t>
        </is>
      </c>
      <c r="C45" s="16" t="inlineStr">
        <is>
          <t>Web URL</t>
        </is>
      </c>
      <c r="D45" s="17" t="inlineStr">
        <is>
          <t>Estratégia Concursos</t>
        </is>
      </c>
      <c r="E45" s="17" t="inlineStr">
        <is>
          <t>Legislação Penal &amp; Tipificação</t>
        </is>
      </c>
      <c r="F45" s="16" t="inlineStr">
        <is>
          <t>Disponível no Acervo</t>
        </is>
      </c>
      <c r="G45" s="17" t="inlineStr">
        <is>
          <t>Pesquisa / Portal: Estratégia Concursos</t>
        </is>
      </c>
    </row>
    <row r="46">
      <c r="A46" s="14" t="inlineStr">
        <is>
          <t>SRC-045</t>
        </is>
      </c>
      <c r="B46" s="15" t="inlineStr">
        <is>
          <t>Crise estrutural, crise urbana e militarização do território: uma análise sobre o urbanismo miliciano-militar no Rio de Janeiro - OpenEdition Journals</t>
        </is>
      </c>
      <c r="C46" s="14" t="inlineStr">
        <is>
          <t>Web URL</t>
        </is>
      </c>
      <c r="D46" s="15" t="inlineStr">
        <is>
          <t>OpenEdition Journals</t>
        </is>
      </c>
      <c r="E46" s="15" t="inlineStr">
        <is>
          <t>Milícias &amp; Governança Armada</t>
        </is>
      </c>
      <c r="F46" s="14" t="inlineStr">
        <is>
          <t>Disponível no Acervo</t>
        </is>
      </c>
      <c r="G46" s="15" t="inlineStr">
        <is>
          <t>Pesquisa / Portal: OpenEdition Journals</t>
        </is>
      </c>
    </row>
    <row r="47">
      <c r="A47" s="16" t="inlineStr">
        <is>
          <t>SRC-046</t>
        </is>
      </c>
      <c r="B47" s="17" t="inlineStr">
        <is>
          <t>Dinâmicas faccionais e milícias no Rio de Janeiro - Dicionário de Favelas Marielle Franco</t>
        </is>
      </c>
      <c r="C47" s="16" t="inlineStr">
        <is>
          <t>Web URL</t>
        </is>
      </c>
      <c r="D47" s="17" t="inlineStr">
        <is>
          <t>Dicionário de Favelas Marielle Franco</t>
        </is>
      </c>
      <c r="E47" s="17" t="inlineStr">
        <is>
          <t>Milícias &amp; Governança Armada</t>
        </is>
      </c>
      <c r="F47" s="16" t="inlineStr">
        <is>
          <t>Disponível no Acervo</t>
        </is>
      </c>
      <c r="G47" s="17" t="inlineStr">
        <is>
          <t>Pesquisa / Portal: Dicionário de Favelas Marielle Franco</t>
        </is>
      </c>
    </row>
    <row r="48">
      <c r="A48" s="14" t="inlineStr">
        <is>
          <t>SRC-047</t>
        </is>
      </c>
      <c r="B48" s="15" t="inlineStr">
        <is>
          <t>Ditadura militar e a origem do comando vermelho | HISTÓRIAS DO ACERVO</t>
        </is>
      </c>
      <c r="C48" s="14" t="inlineStr">
        <is>
          <t>Vídeo YouTube</t>
        </is>
      </c>
      <c r="D48" s="15" t="inlineStr">
        <is>
          <t>Histórias do Acervo (YouTube)</t>
        </is>
      </c>
      <c r="E48" s="15" t="inlineStr">
        <is>
          <t>História das Facções do Tráfico</t>
        </is>
      </c>
      <c r="F48" s="14" t="inlineStr">
        <is>
          <t>Disponível no Acervo</t>
        </is>
      </c>
      <c r="G48" s="15" t="inlineStr">
        <is>
          <t>https://www.youtube.com/results?search_query=Ditadura+militar+e+a+origem+do+comando+vermelho+|+HISTÓRIAS+DO+ACERVO</t>
        </is>
      </c>
    </row>
    <row r="49">
      <c r="A49" s="16" t="inlineStr">
        <is>
          <t>SRC-048</t>
        </is>
      </c>
      <c r="B49" s="17" t="inlineStr">
        <is>
          <t>Do “esquadrão da morte” ao “urbanismo miliciano”: como a trajetória do crime organizado moldou a captura do Minha Casa, Minha Vida no Rio de Janeiro | Revista da EMERJ</t>
        </is>
      </c>
      <c r="C49" s="16" t="inlineStr">
        <is>
          <t>Web URL</t>
        </is>
      </c>
      <c r="D49" s="17" t="inlineStr">
        <is>
          <t>Revista da EMERJ</t>
        </is>
      </c>
      <c r="E49" s="17" t="inlineStr">
        <is>
          <t>Esquadrões da Morte &amp; Parastatalidade</t>
        </is>
      </c>
      <c r="F49" s="16" t="inlineStr">
        <is>
          <t>Disponível no Acervo</t>
        </is>
      </c>
      <c r="G49" s="17" t="inlineStr">
        <is>
          <t>Pesquisa / Portal: Revista da EMERJ</t>
        </is>
      </c>
    </row>
    <row r="50">
      <c r="A50" s="14" t="inlineStr">
        <is>
          <t>SRC-049</t>
        </is>
      </c>
      <c r="B50" s="15" t="inlineStr">
        <is>
          <t>Documentation: 18: 8.17. Range Types - PostgreSQL</t>
        </is>
      </c>
      <c r="C50" s="14" t="inlineStr">
        <is>
          <t>Web URL</t>
        </is>
      </c>
      <c r="D50" s="15" t="inlineStr">
        <is>
          <t>PostgreSQL Docs</t>
        </is>
      </c>
      <c r="E50" s="15" t="inlineStr">
        <is>
          <t>Automação &amp; Geoprocessamento GIS</t>
        </is>
      </c>
      <c r="F50" s="14" t="inlineStr">
        <is>
          <t>Disponível no Acervo</t>
        </is>
      </c>
      <c r="G50" s="15" t="inlineStr">
        <is>
          <t>Pesquisa / Portal: PostgreSQL Docs</t>
        </is>
      </c>
    </row>
    <row r="51">
      <c r="A51" s="16" t="inlineStr">
        <is>
          <t>SRC-050</t>
        </is>
      </c>
      <c r="B51" s="17" t="inlineStr">
        <is>
          <t>Dr. Jairinho é investigado por propina da máfia dos ônibus no Rio; saiba quem é o vereador</t>
        </is>
      </c>
      <c r="C51" s="16" t="inlineStr">
        <is>
          <t>Web URL</t>
        </is>
      </c>
      <c r="D51" s="17" t="inlineStr">
        <is>
          <t>G1 / Folha</t>
        </is>
      </c>
      <c r="E51" s="17" t="inlineStr">
        <is>
          <t>Corrupção &amp; Política Fluminense</t>
        </is>
      </c>
      <c r="F51" s="16" t="inlineStr">
        <is>
          <t>Disponível no Acervo</t>
        </is>
      </c>
      <c r="G51" s="17" t="inlineStr">
        <is>
          <t>Pesquisa / Portal: G1 / Folha</t>
        </is>
      </c>
    </row>
    <row r="52">
      <c r="A52" s="14" t="inlineStr">
        <is>
          <t>SRC-051</t>
        </is>
      </c>
      <c r="B52" s="15" t="inlineStr">
        <is>
          <t>Em 30 anos, todos os governadores eleitos do RJ caíram; entenda - CNN Brasil</t>
        </is>
      </c>
      <c r="C52" s="14" t="inlineStr">
        <is>
          <t>Web URL</t>
        </is>
      </c>
      <c r="D52" s="15" t="inlineStr">
        <is>
          <t>CNN Brasil</t>
        </is>
      </c>
      <c r="E52" s="15" t="inlineStr">
        <is>
          <t>Corrupção &amp; Política Fluminense</t>
        </is>
      </c>
      <c r="F52" s="14" t="inlineStr">
        <is>
          <t>Disponível no Acervo</t>
        </is>
      </c>
      <c r="G52" s="15" t="inlineStr">
        <is>
          <t>Pesquisa / Portal: CNN Brasil</t>
        </is>
      </c>
    </row>
    <row r="53">
      <c r="A53" s="16" t="inlineStr">
        <is>
          <t>SRC-052</t>
        </is>
      </c>
      <c r="B53" s="17" t="inlineStr">
        <is>
          <t>Entenda como o tráfico se tornou um crime organizado no Rio - G1 (Série Histórica 1)</t>
        </is>
      </c>
      <c r="C53" s="16" t="inlineStr">
        <is>
          <t>Web URL</t>
        </is>
      </c>
      <c r="D53" s="17" t="inlineStr">
        <is>
          <t>G1 - Globo</t>
        </is>
      </c>
      <c r="E53" s="17" t="inlineStr">
        <is>
          <t>História das Facções do Tráfico</t>
        </is>
      </c>
      <c r="F53" s="16" t="inlineStr">
        <is>
          <t>Disponível no Acervo</t>
        </is>
      </c>
      <c r="G53" s="17" t="inlineStr">
        <is>
          <t>Pesquisa / Portal: G1 - Globo</t>
        </is>
      </c>
    </row>
    <row r="54">
      <c r="A54" s="14" t="inlineStr">
        <is>
          <t>SRC-053</t>
        </is>
      </c>
      <c r="B54" s="15" t="inlineStr">
        <is>
          <t>Entenda como o tráfico se tornou um crime organizado no Rio - G1 (Série Histórica 2)</t>
        </is>
      </c>
      <c r="C54" s="14" t="inlineStr">
        <is>
          <t>Web URL</t>
        </is>
      </c>
      <c r="D54" s="15" t="inlineStr">
        <is>
          <t>G1 - Globo</t>
        </is>
      </c>
      <c r="E54" s="15" t="inlineStr">
        <is>
          <t>História das Facções do Tráfico</t>
        </is>
      </c>
      <c r="F54" s="14" t="inlineStr">
        <is>
          <t>Disponível no Acervo</t>
        </is>
      </c>
      <c r="G54" s="15" t="inlineStr">
        <is>
          <t>Pesquisa / Portal: G1 - Globo</t>
        </is>
      </c>
    </row>
    <row r="55">
      <c r="A55" s="16" t="inlineStr">
        <is>
          <t>SRC-054</t>
        </is>
      </c>
      <c r="B55" s="17" t="inlineStr">
        <is>
          <t>Entenda como o tráfico se tornou um crime organizado no Rio - G1 (Série Histórica 3)</t>
        </is>
      </c>
      <c r="C55" s="16" t="inlineStr">
        <is>
          <t>Web URL</t>
        </is>
      </c>
      <c r="D55" s="17" t="inlineStr">
        <is>
          <t>G1 - Globo</t>
        </is>
      </c>
      <c r="E55" s="17" t="inlineStr">
        <is>
          <t>História das Facções do Tráfico</t>
        </is>
      </c>
      <c r="F55" s="16" t="inlineStr">
        <is>
          <t>Disponível no Acervo</t>
        </is>
      </c>
      <c r="G55" s="17" t="inlineStr">
        <is>
          <t>Pesquisa / Portal: G1 - Globo</t>
        </is>
      </c>
    </row>
    <row r="56">
      <c r="A56" s="14" t="inlineStr">
        <is>
          <t>SRC-055</t>
        </is>
      </c>
      <c r="B56" s="15" t="inlineStr">
        <is>
          <t>Entenda como surgiu o Comando Vermelho; facção nasceu na década de 70 - G1 - Globo (Parte 1)</t>
        </is>
      </c>
      <c r="C56" s="14" t="inlineStr">
        <is>
          <t>Web URL</t>
        </is>
      </c>
      <c r="D56" s="15" t="inlineStr">
        <is>
          <t>G1 - Globo</t>
        </is>
      </c>
      <c r="E56" s="15" t="inlineStr">
        <is>
          <t>História das Facções do Tráfico</t>
        </is>
      </c>
      <c r="F56" s="14" t="inlineStr">
        <is>
          <t>Disponível no Acervo</t>
        </is>
      </c>
      <c r="G56" s="15" t="inlineStr">
        <is>
          <t>Pesquisa / Portal: G1 - Globo</t>
        </is>
      </c>
    </row>
    <row r="57">
      <c r="A57" s="16" t="inlineStr">
        <is>
          <t>SRC-056</t>
        </is>
      </c>
      <c r="B57" s="17" t="inlineStr">
        <is>
          <t>Entenda como surgiu o Comando Vermelho; facção nasceu na década de 70 - G1 - Globo (Parte 2)</t>
        </is>
      </c>
      <c r="C57" s="16" t="inlineStr">
        <is>
          <t>Web URL</t>
        </is>
      </c>
      <c r="D57" s="17" t="inlineStr">
        <is>
          <t>G1 - Globo</t>
        </is>
      </c>
      <c r="E57" s="17" t="inlineStr">
        <is>
          <t>História das Facções do Tráfico</t>
        </is>
      </c>
      <c r="F57" s="16" t="inlineStr">
        <is>
          <t>Disponível no Acervo</t>
        </is>
      </c>
      <c r="G57" s="17" t="inlineStr">
        <is>
          <t>Pesquisa / Portal: G1 - Globo</t>
        </is>
      </c>
    </row>
    <row r="58">
      <c r="A58" s="14" t="inlineStr">
        <is>
          <t>SRC-057</t>
        </is>
      </c>
      <c r="B58" s="15" t="inlineStr">
        <is>
          <t>Entenda como surgiu o Comando Vermelho; facção nasceu na década de 70 - G1 - Globo (Parte 3)</t>
        </is>
      </c>
      <c r="C58" s="14" t="inlineStr">
        <is>
          <t>Web URL</t>
        </is>
      </c>
      <c r="D58" s="15" t="inlineStr">
        <is>
          <t>G1 - Globo</t>
        </is>
      </c>
      <c r="E58" s="15" t="inlineStr">
        <is>
          <t>História das Facções do Tráfico</t>
        </is>
      </c>
      <c r="F58" s="14" t="inlineStr">
        <is>
          <t>Disponível no Acervo</t>
        </is>
      </c>
      <c r="G58" s="15" t="inlineStr">
        <is>
          <t>Pesquisa / Portal: G1 - Globo</t>
        </is>
      </c>
    </row>
    <row r="59">
      <c r="A59" s="16" t="inlineStr">
        <is>
          <t>SRC-058</t>
        </is>
      </c>
      <c r="B59" s="17" t="inlineStr">
        <is>
          <t>Entenda o controle de grupos criminosos sobre favelas do Complexo da Maré | Rio de Janeiro | O Dia (Doc 1)</t>
        </is>
      </c>
      <c r="C59" s="16" t="inlineStr">
        <is>
          <t>Web URL</t>
        </is>
      </c>
      <c r="D59" s="17" t="inlineStr">
        <is>
          <t>Jornal O Dia</t>
        </is>
      </c>
      <c r="E59" s="17" t="inlineStr">
        <is>
          <t>Dinâmica Territorial &amp; Facções</t>
        </is>
      </c>
      <c r="F59" s="16" t="inlineStr">
        <is>
          <t>Disponível no Acervo</t>
        </is>
      </c>
      <c r="G59" s="17" t="inlineStr">
        <is>
          <t>Pesquisa / Portal: Jornal O Dia</t>
        </is>
      </c>
    </row>
    <row r="60">
      <c r="A60" s="14" t="inlineStr">
        <is>
          <t>SRC-059</t>
        </is>
      </c>
      <c r="B60" s="15" t="inlineStr">
        <is>
          <t>Entenda o controle de grupos criminosos sobre favelas do Complexo da Maré | Rio de Janeiro | O Dia (Doc 2)</t>
        </is>
      </c>
      <c r="C60" s="14" t="inlineStr">
        <is>
          <t>Web URL</t>
        </is>
      </c>
      <c r="D60" s="15" t="inlineStr">
        <is>
          <t>Jornal O Dia</t>
        </is>
      </c>
      <c r="E60" s="15" t="inlineStr">
        <is>
          <t>Dinâmica Territorial &amp; Facções</t>
        </is>
      </c>
      <c r="F60" s="14" t="inlineStr">
        <is>
          <t>Disponível no Acervo</t>
        </is>
      </c>
      <c r="G60" s="15" t="inlineStr">
        <is>
          <t>Pesquisa / Portal: Jornal O Dia</t>
        </is>
      </c>
    </row>
    <row r="61">
      <c r="A61" s="16" t="inlineStr">
        <is>
          <t>SRC-060</t>
        </is>
      </c>
      <c r="B61" s="17" t="inlineStr">
        <is>
          <t>Escritório do Crime – Wikipédia, a enciclopédia livre</t>
        </is>
      </c>
      <c r="C61" s="16" t="inlineStr">
        <is>
          <t>Web URL</t>
        </is>
      </c>
      <c r="D61" s="17" t="inlineStr">
        <is>
          <t>Wikipédia</t>
        </is>
      </c>
      <c r="E61" s="17" t="inlineStr">
        <is>
          <t>Esquadrões da Morte &amp; Parastatalidade</t>
        </is>
      </c>
      <c r="F61" s="16" t="inlineStr">
        <is>
          <t>Disponível no Acervo</t>
        </is>
      </c>
      <c r="G61" s="17" t="inlineStr">
        <is>
          <t>Pesquisa / Portal: Wikipédia</t>
        </is>
      </c>
    </row>
    <row r="62">
      <c r="A62" s="14" t="inlineStr">
        <is>
          <t>SRC-061</t>
        </is>
      </c>
      <c r="B62" s="15" t="inlineStr">
        <is>
          <t>Especial Presídios - A história das facções criminosas brasileiras (05' 50") - Rádio Câmara</t>
        </is>
      </c>
      <c r="C62" s="14" t="inlineStr">
        <is>
          <t>Web URL</t>
        </is>
      </c>
      <c r="D62" s="15" t="inlineStr">
        <is>
          <t>Rádio Câmara</t>
        </is>
      </c>
      <c r="E62" s="15" t="inlineStr">
        <is>
          <t>Sistema Carcerário &amp; Facções</t>
        </is>
      </c>
      <c r="F62" s="14" t="inlineStr">
        <is>
          <t>Disponível no Acervo</t>
        </is>
      </c>
      <c r="G62" s="15" t="inlineStr">
        <is>
          <t>Pesquisa / Portal: Rádio Câmara</t>
        </is>
      </c>
    </row>
    <row r="63">
      <c r="A63" s="16" t="inlineStr">
        <is>
          <t>SRC-062</t>
        </is>
      </c>
      <c r="B63" s="17" t="inlineStr">
        <is>
          <t>Esquemas de corrupção desviaram quase R$ 1,8 bilhão da Saúde do RJ desde 2007; valor supera gastos com a pandemia | G1</t>
        </is>
      </c>
      <c r="C63" s="16" t="inlineStr">
        <is>
          <t>Web URL</t>
        </is>
      </c>
      <c r="D63" s="17" t="inlineStr">
        <is>
          <t>G1 - Globo</t>
        </is>
      </c>
      <c r="E63" s="17" t="inlineStr">
        <is>
          <t>Corrupção &amp; Política Fluminense</t>
        </is>
      </c>
      <c r="F63" s="16" t="inlineStr">
        <is>
          <t>Disponível no Acervo</t>
        </is>
      </c>
      <c r="G63" s="17" t="inlineStr">
        <is>
          <t>Pesquisa / Portal: G1 - Globo</t>
        </is>
      </c>
    </row>
    <row r="64">
      <c r="A64" s="14" t="inlineStr">
        <is>
          <t>SRC-063</t>
        </is>
      </c>
      <c r="B64" s="15" t="inlineStr">
        <is>
          <t>Estudo apresenta mapa dos grupos armados do Rio de Janeiro - Rádio Nacional</t>
        </is>
      </c>
      <c r="C64" s="14" t="inlineStr">
        <is>
          <t>Web URL</t>
        </is>
      </c>
      <c r="D64" s="15" t="inlineStr">
        <is>
          <t>EBC / Rádio Nacional</t>
        </is>
      </c>
      <c r="E64" s="15" t="inlineStr">
        <is>
          <t>Dinâmica Territorial &amp; Facções</t>
        </is>
      </c>
      <c r="F64" s="14" t="inlineStr">
        <is>
          <t>Disponível no Acervo</t>
        </is>
      </c>
      <c r="G64" s="15" t="inlineStr">
        <is>
          <t>Pesquisa / Portal: EBC / Rádio Nacional</t>
        </is>
      </c>
    </row>
    <row r="65">
      <c r="A65" s="16" t="inlineStr">
        <is>
          <t>SRC-064</t>
        </is>
      </c>
      <c r="B65" s="17" t="inlineStr">
        <is>
          <t>Facções criminais e milícias: Aproximações e distanciamentos propostos pela literatura</t>
        </is>
      </c>
      <c r="C65" s="16" t="inlineStr">
        <is>
          <t>Web URL</t>
        </is>
      </c>
      <c r="D65" s="17" t="inlineStr">
        <is>
          <t>Revista Brasileira de Segurança Pública</t>
        </is>
      </c>
      <c r="E65" s="17" t="inlineStr">
        <is>
          <t>Fundamentos Teóricos &amp; Sociologia</t>
        </is>
      </c>
      <c r="F65" s="16" t="inlineStr">
        <is>
          <t>Disponível no Acervo</t>
        </is>
      </c>
      <c r="G65" s="17" t="inlineStr">
        <is>
          <t>Pesquisa / Portal: Revista Brasileira de Segurança Pública</t>
        </is>
      </c>
    </row>
    <row r="66">
      <c r="A66" s="14" t="inlineStr">
        <is>
          <t>SRC-065</t>
        </is>
      </c>
      <c r="B66" s="15" t="inlineStr">
        <is>
          <t>História das milícias no Brasil: como surgiram e se expandiram? - Politize! (Parte 1)</t>
        </is>
      </c>
      <c r="C66" s="14" t="inlineStr">
        <is>
          <t>Web URL</t>
        </is>
      </c>
      <c r="D66" s="15" t="inlineStr">
        <is>
          <t>Portal Politize!</t>
        </is>
      </c>
      <c r="E66" s="15" t="inlineStr">
        <is>
          <t>Milícias &amp; Governança Armada</t>
        </is>
      </c>
      <c r="F66" s="14" t="inlineStr">
        <is>
          <t>Disponível no Acervo</t>
        </is>
      </c>
      <c r="G66" s="15" t="inlineStr">
        <is>
          <t>Pesquisa / Portal: Portal Politize!</t>
        </is>
      </c>
    </row>
    <row r="67">
      <c r="A67" s="16" t="inlineStr">
        <is>
          <t>SRC-066</t>
        </is>
      </c>
      <c r="B67" s="17" t="inlineStr">
        <is>
          <t>História das milícias no Brasil: como surgiram e se expandiram? - Politize! (Parte 2)</t>
        </is>
      </c>
      <c r="C67" s="16" t="inlineStr">
        <is>
          <t>Web URL</t>
        </is>
      </c>
      <c r="D67" s="17" t="inlineStr">
        <is>
          <t>Portal Politize!</t>
        </is>
      </c>
      <c r="E67" s="17" t="inlineStr">
        <is>
          <t>Milícias &amp; Governança Armada</t>
        </is>
      </c>
      <c r="F67" s="16" t="inlineStr">
        <is>
          <t>Disponível no Acervo</t>
        </is>
      </c>
      <c r="G67" s="17" t="inlineStr">
        <is>
          <t>Pesquisa / Portal: Portal Politize!</t>
        </is>
      </c>
    </row>
    <row r="68">
      <c r="A68" s="14" t="inlineStr">
        <is>
          <t>SRC-067</t>
        </is>
      </c>
      <c r="B68" s="15" t="inlineStr">
        <is>
          <t>IBGE volta a usar o termo favela no Censo - Estado de Minas</t>
        </is>
      </c>
      <c r="C68" s="14" t="inlineStr">
        <is>
          <t>Web URL</t>
        </is>
      </c>
      <c r="D68" s="15" t="inlineStr">
        <is>
          <t>Estado de Minas / IBGE</t>
        </is>
      </c>
      <c r="E68" s="15" t="inlineStr">
        <is>
          <t>Urbanismo &amp; Favelas</t>
        </is>
      </c>
      <c r="F68" s="14" t="inlineStr">
        <is>
          <t>Disponível no Acervo</t>
        </is>
      </c>
      <c r="G68" s="15" t="inlineStr">
        <is>
          <t>Pesquisa / Portal: Estado de Minas / IBGE</t>
        </is>
      </c>
    </row>
    <row r="69">
      <c r="A69" s="16" t="inlineStr">
        <is>
          <t>SRC-068</t>
        </is>
      </c>
      <c r="B69" s="17" t="inlineStr">
        <is>
          <t>IMPACTOS DA GUERRA ÀS DROGAS NA REDE MUNICIPAL DE EDUCAÇÃO DO RIO DE JANEIRO - CESeC (Doc 1)</t>
        </is>
      </c>
      <c r="C69" s="16" t="inlineStr">
        <is>
          <t>Documento PDF</t>
        </is>
      </c>
      <c r="D69" s="17" t="inlineStr">
        <is>
          <t>CESeC</t>
        </is>
      </c>
      <c r="E69" s="17" t="inlineStr">
        <is>
          <t>Letalidade Policial &amp; Direitos Humanos</t>
        </is>
      </c>
      <c r="F69" s="16" t="inlineStr">
        <is>
          <t>Disponível no Acervo</t>
        </is>
      </c>
      <c r="G69" s="17" t="inlineStr">
        <is>
          <t>Acervo Digital PDF: IMPACTOS DA GUERRA ÀS DROGAS NA REDE MUNICIPAL DE EDUCAÇÃO DO RIO DE JANEIRO - CESeC (Doc 1)</t>
        </is>
      </c>
    </row>
    <row r="70">
      <c r="A70" s="14" t="inlineStr">
        <is>
          <t>SRC-069</t>
        </is>
      </c>
      <c r="B70" s="15" t="inlineStr">
        <is>
          <t>IMPACTOS DA GUERRA ÀS DROGAS NA REDE MUNICIPAL DE EDUCAÇÃO DO RIO DE JANEIRO - CESeC (Doc 2)</t>
        </is>
      </c>
      <c r="C70" s="14" t="inlineStr">
        <is>
          <t>Documento PDF</t>
        </is>
      </c>
      <c r="D70" s="15" t="inlineStr">
        <is>
          <t>CESeC</t>
        </is>
      </c>
      <c r="E70" s="15" t="inlineStr">
        <is>
          <t>Letalidade Policial &amp; Direitos Humanos</t>
        </is>
      </c>
      <c r="F70" s="14" t="inlineStr">
        <is>
          <t>Disponível no Acervo</t>
        </is>
      </c>
      <c r="G70" s="15" t="inlineStr">
        <is>
          <t>Acervo Digital PDF: IMPACTOS DA GUERRA ÀS DROGAS NA REDE MUNICIPAL DE EDUCAÇÃO DO RIO DE JANEIRO - CESeC (Doc 2)</t>
        </is>
      </c>
    </row>
    <row r="71">
      <c r="A71" s="16" t="inlineStr">
        <is>
          <t>SRC-070</t>
        </is>
      </c>
      <c r="B71" s="17" t="inlineStr">
        <is>
          <t>IMPACTOS DA GUERRA ÀS DROGAS NA REDE MUNICIPAL DE EDUCAÇÃO DO RIO DE JANEIRO - CESeC (Doc 3)</t>
        </is>
      </c>
      <c r="C71" s="16" t="inlineStr">
        <is>
          <t>Documento PDF</t>
        </is>
      </c>
      <c r="D71" s="17" t="inlineStr">
        <is>
          <t>CESeC</t>
        </is>
      </c>
      <c r="E71" s="17" t="inlineStr">
        <is>
          <t>Letalidade Policial &amp; Direitos Humanos</t>
        </is>
      </c>
      <c r="F71" s="16" t="inlineStr">
        <is>
          <t>Disponível no Acervo</t>
        </is>
      </c>
      <c r="G71" s="17" t="inlineStr">
        <is>
          <t>Acervo Digital PDF: IMPACTOS DA GUERRA ÀS DROGAS NA REDE MUNICIPAL DE EDUCAÇÃO DO RIO DE JANEIRO - CESeC (Doc 3)</t>
        </is>
      </c>
    </row>
    <row r="72">
      <c r="A72" s="14" t="inlineStr">
        <is>
          <t>SRC-071</t>
        </is>
      </c>
      <c r="B72" s="15" t="inlineStr">
        <is>
          <t>Iconografia da História - Canal Oficial YouTube</t>
        </is>
      </c>
      <c r="C72" s="14" t="inlineStr">
        <is>
          <t>Web URL</t>
        </is>
      </c>
      <c r="D72" s="15" t="inlineStr">
        <is>
          <t>YouTube</t>
        </is>
      </c>
      <c r="E72" s="15" t="inlineStr">
        <is>
          <t>Acervo Audiovisual &amp; Pesquisa</t>
        </is>
      </c>
      <c r="F72" s="14" t="inlineStr">
        <is>
          <t>Disponível no Acervo</t>
        </is>
      </c>
      <c r="G72" s="15" t="inlineStr">
        <is>
          <t>Pesquisa / Portal: YouTube</t>
        </is>
      </c>
    </row>
    <row r="73">
      <c r="A73" s="16" t="inlineStr">
        <is>
          <t>SRC-072</t>
        </is>
      </c>
      <c r="B73" s="17" t="inlineStr">
        <is>
          <t>Irmãos Brazão: a condenação por matar Marielle Franco - Agência Pública</t>
        </is>
      </c>
      <c r="C73" s="16" t="inlineStr">
        <is>
          <t>Web URL</t>
        </is>
      </c>
      <c r="D73" s="17" t="inlineStr">
        <is>
          <t>Agência Pública</t>
        </is>
      </c>
      <c r="E73" s="17" t="inlineStr">
        <is>
          <t>Caso Marielle &amp; Conexões Políticas</t>
        </is>
      </c>
      <c r="F73" s="16" t="inlineStr">
        <is>
          <t>Disponível no Acervo</t>
        </is>
      </c>
      <c r="G73" s="17" t="inlineStr">
        <is>
          <t>Pesquisa / Portal: Agência Pública</t>
        </is>
      </c>
    </row>
    <row r="74">
      <c r="A74" s="14" t="inlineStr">
        <is>
          <t>SRC-073</t>
        </is>
      </c>
      <c r="B74" s="15" t="inlineStr">
        <is>
          <t>LEI ANTITERRORISMO NO BRASIL E A CENTRALIDADE DO MEDO NAS TRANSFORMAÇÕES DOS ESTADOS CONTEMPORÂNEOS</t>
        </is>
      </c>
      <c r="C74" s="14" t="inlineStr">
        <is>
          <t>Documento PDF</t>
        </is>
      </c>
      <c r="D74" s="15" t="inlineStr">
        <is>
          <t>Periódicos UFRJ / IDP</t>
        </is>
      </c>
      <c r="E74" s="15" t="inlineStr">
        <is>
          <t>Legislação Penal &amp; Tipificação</t>
        </is>
      </c>
      <c r="F74" s="14" t="inlineStr">
        <is>
          <t>Disponível no Acervo</t>
        </is>
      </c>
      <c r="G74" s="15" t="inlineStr">
        <is>
          <t>Acervo Digital PDF: LEI ANTITERRORISMO NO BRASIL E A CENTRALIDADE DO MEDO NAS TRANSFORMAÇÕES DOS ESTADOS CONTEMPORÂNEOS</t>
        </is>
      </c>
    </row>
    <row r="75">
      <c r="A75" s="16" t="inlineStr">
        <is>
          <t>SRC-074</t>
        </is>
      </c>
      <c r="B75" s="17" t="inlineStr">
        <is>
          <t>Le Cocq - Busca - Folha de S.Paulo - UOL</t>
        </is>
      </c>
      <c r="C75" s="16" t="inlineStr">
        <is>
          <t>Web URL</t>
        </is>
      </c>
      <c r="D75" s="17" t="inlineStr">
        <is>
          <t>Folha de S.Paulo</t>
        </is>
      </c>
      <c r="E75" s="17" t="inlineStr">
        <is>
          <t>Esquadrões da Morte &amp; Parastatalidade</t>
        </is>
      </c>
      <c r="F75" s="16" t="inlineStr">
        <is>
          <t>Disponível no Acervo</t>
        </is>
      </c>
      <c r="G75" s="17" t="inlineStr">
        <is>
          <t>Pesquisa / Portal: Folha de S.Paulo</t>
        </is>
      </c>
    </row>
    <row r="76">
      <c r="A76" s="14" t="inlineStr">
        <is>
          <t>SRC-075</t>
        </is>
      </c>
      <c r="B76" s="15" t="inlineStr">
        <is>
          <t>Lei 12.720/2012 – mais do mesmo na produção de leis penais - IBCCRIM</t>
        </is>
      </c>
      <c r="C76" s="14" t="inlineStr">
        <is>
          <t>Documento PDF</t>
        </is>
      </c>
      <c r="D76" s="15" t="inlineStr">
        <is>
          <t>IBCCRIM</t>
        </is>
      </c>
      <c r="E76" s="15" t="inlineStr">
        <is>
          <t>Legislação Penal &amp; Tipificação</t>
        </is>
      </c>
      <c r="F76" s="14" t="inlineStr">
        <is>
          <t>Disponível no Acervo</t>
        </is>
      </c>
      <c r="G76" s="15" t="inlineStr">
        <is>
          <t>Acervo Digital PDF: Lei 12.720/2012 – mais do mesmo na produção de leis penais - IBCCRIM</t>
        </is>
      </c>
    </row>
    <row r="77">
      <c r="A77" s="16" t="inlineStr">
        <is>
          <t>SRC-076</t>
        </is>
      </c>
      <c r="B77" s="17" t="inlineStr">
        <is>
          <t>Lei aumenta penas de crimes praticados por milícias e grupos de extermínio - Migalhas</t>
        </is>
      </c>
      <c r="C77" s="16" t="inlineStr">
        <is>
          <t>Web URL</t>
        </is>
      </c>
      <c r="D77" s="17" t="inlineStr">
        <is>
          <t>Portal Migalhas</t>
        </is>
      </c>
      <c r="E77" s="17" t="inlineStr">
        <is>
          <t>Legislação Penal &amp; Tipificação</t>
        </is>
      </c>
      <c r="F77" s="16" t="inlineStr">
        <is>
          <t>Disponível no Acervo</t>
        </is>
      </c>
      <c r="G77" s="17" t="inlineStr">
        <is>
          <t>Pesquisa / Portal: Portal Migalhas</t>
        </is>
      </c>
    </row>
    <row r="78">
      <c r="A78" s="14" t="inlineStr">
        <is>
          <t>SRC-077</t>
        </is>
      </c>
      <c r="B78" s="15" t="inlineStr">
        <is>
          <t>Livro relata histórico das milícias e dos esquadrões da morte na era bolsonarista</t>
        </is>
      </c>
      <c r="C78" s="14" t="inlineStr">
        <is>
          <t>Web URL</t>
        </is>
      </c>
      <c r="D78" s="15" t="inlineStr">
        <is>
          <t>Folha de S.Paulo / Bruno Paes Manso</t>
        </is>
      </c>
      <c r="E78" s="15" t="inlineStr">
        <is>
          <t>Milícias &amp; Governança Armada</t>
        </is>
      </c>
      <c r="F78" s="14" t="inlineStr">
        <is>
          <t>Disponível no Acervo</t>
        </is>
      </c>
      <c r="G78" s="15" t="inlineStr">
        <is>
          <t>Pesquisa / Portal: Folha de S.Paulo / Bruno Paes Manso</t>
        </is>
      </c>
    </row>
    <row r="79">
      <c r="A79" s="16" t="inlineStr">
        <is>
          <t>SRC-078</t>
        </is>
      </c>
      <c r="B79" s="17" t="inlineStr">
        <is>
          <t>Mapa Histórico, Territorial e Antropológico da Criminalidade no Rio de Janeiro</t>
        </is>
      </c>
      <c r="C79" s="16" t="inlineStr">
        <is>
          <t>Markdown</t>
        </is>
      </c>
      <c r="D79" s="17" t="inlineStr">
        <is>
          <t>Acervo do Projeto</t>
        </is>
      </c>
      <c r="E79" s="17" t="inlineStr">
        <is>
          <t>Dinâmica Territorial &amp; Facções</t>
        </is>
      </c>
      <c r="F79" s="16" t="inlineStr">
        <is>
          <t>Disponível no Acervo</t>
        </is>
      </c>
      <c r="G79" s="17" t="inlineStr">
        <is>
          <t>Documento Interno do Projeto (Markdown)</t>
        </is>
      </c>
    </row>
    <row r="80">
      <c r="A80" s="14" t="inlineStr">
        <is>
          <t>SRC-079</t>
        </is>
      </c>
      <c r="B80" s="15" t="inlineStr">
        <is>
          <t>Mapa de los grupos armados en Río de Janeiro - Dicionário de Favelas Marielle Franco</t>
        </is>
      </c>
      <c r="C80" s="14" t="inlineStr">
        <is>
          <t>Web URL</t>
        </is>
      </c>
      <c r="D80" s="15" t="inlineStr">
        <is>
          <t>Dicionário de Favelas Marielle Franco</t>
        </is>
      </c>
      <c r="E80" s="15" t="inlineStr">
        <is>
          <t>Dinâmica Territorial &amp; Facções</t>
        </is>
      </c>
      <c r="F80" s="14" t="inlineStr">
        <is>
          <t>Disponível no Acervo</t>
        </is>
      </c>
      <c r="G80" s="15" t="inlineStr">
        <is>
          <t>Pesquisa / Portal: Dicionário de Favelas Marielle Franco</t>
        </is>
      </c>
    </row>
    <row r="81">
      <c r="A81" s="16" t="inlineStr">
        <is>
          <t>SRC-080</t>
        </is>
      </c>
      <c r="B81" s="17" t="inlineStr">
        <is>
          <t>Mapa dos Grupos Armados - Pista News</t>
        </is>
      </c>
      <c r="C81" s="16" t="inlineStr">
        <is>
          <t>Web URL</t>
        </is>
      </c>
      <c r="D81" s="17" t="inlineStr">
        <is>
          <t>Pista News / Fogo Cruzado</t>
        </is>
      </c>
      <c r="E81" s="17" t="inlineStr">
        <is>
          <t>Dinâmica Territorial &amp; Facções</t>
        </is>
      </c>
      <c r="F81" s="16" t="inlineStr">
        <is>
          <t>Disponível no Acervo</t>
        </is>
      </c>
      <c r="G81" s="17" t="inlineStr">
        <is>
          <t>Pesquisa / Portal: Pista News / Fogo Cruzado</t>
        </is>
      </c>
    </row>
    <row r="82">
      <c r="A82" s="14" t="inlineStr">
        <is>
          <t>SRC-081</t>
        </is>
      </c>
      <c r="B82" s="15" t="inlineStr">
        <is>
          <t>Mapa dos grupos armados no Rio de Janeiro - Fonte Segura</t>
        </is>
      </c>
      <c r="C82" s="14" t="inlineStr">
        <is>
          <t>Web URL</t>
        </is>
      </c>
      <c r="D82" s="15" t="inlineStr">
        <is>
          <t>Fonte Segura / FBSP</t>
        </is>
      </c>
      <c r="E82" s="15" t="inlineStr">
        <is>
          <t>Dinâmica Territorial &amp; Facções</t>
        </is>
      </c>
      <c r="F82" s="14" t="inlineStr">
        <is>
          <t>Disponível no Acervo</t>
        </is>
      </c>
      <c r="G82" s="15" t="inlineStr">
        <is>
          <t>Pesquisa / Portal: Fonte Segura / FBSP</t>
        </is>
      </c>
    </row>
    <row r="83">
      <c r="A83" s="16" t="inlineStr">
        <is>
          <t>SRC-082</t>
        </is>
      </c>
      <c r="B83" s="17" t="inlineStr">
        <is>
          <t>Mapa mostra nova dinâmica do crime no RJ: CV cresce e milícias recuam | G1 - Globo (Parte 1)</t>
        </is>
      </c>
      <c r="C83" s="16" t="inlineStr">
        <is>
          <t>Web URL</t>
        </is>
      </c>
      <c r="D83" s="17" t="inlineStr">
        <is>
          <t>G1 - Globo</t>
        </is>
      </c>
      <c r="E83" s="17" t="inlineStr">
        <is>
          <t>Dinâmica Territorial &amp; Facções</t>
        </is>
      </c>
      <c r="F83" s="16" t="inlineStr">
        <is>
          <t>Disponível no Acervo</t>
        </is>
      </c>
      <c r="G83" s="17" t="inlineStr">
        <is>
          <t>Pesquisa / Portal: G1 - Globo</t>
        </is>
      </c>
    </row>
    <row r="84">
      <c r="A84" s="14" t="inlineStr">
        <is>
          <t>SRC-083</t>
        </is>
      </c>
      <c r="B84" s="15" t="inlineStr">
        <is>
          <t>Mapa mostra nova dinâmica do crime no RJ: CV cresce e milícias recuam | G1 - Globo (Parte 2)</t>
        </is>
      </c>
      <c r="C84" s="14" t="inlineStr">
        <is>
          <t>Web URL</t>
        </is>
      </c>
      <c r="D84" s="15" t="inlineStr">
        <is>
          <t>G1 - Globo</t>
        </is>
      </c>
      <c r="E84" s="15" t="inlineStr">
        <is>
          <t>Dinâmica Territorial &amp; Facções</t>
        </is>
      </c>
      <c r="F84" s="14" t="inlineStr">
        <is>
          <t>Disponível no Acervo</t>
        </is>
      </c>
      <c r="G84" s="15" t="inlineStr">
        <is>
          <t>Pesquisa / Portal: G1 - Globo</t>
        </is>
      </c>
    </row>
    <row r="85">
      <c r="A85" s="16" t="inlineStr">
        <is>
          <t>SRC-084</t>
        </is>
      </c>
      <c r="B85" s="17" t="inlineStr">
        <is>
          <t>Mapa mostra nova dinâmica do crime no RJ: CV cresce e milícias recuam | G1 - Globo (Parte 3)</t>
        </is>
      </c>
      <c r="C85" s="16" t="inlineStr">
        <is>
          <t>Web URL</t>
        </is>
      </c>
      <c r="D85" s="17" t="inlineStr">
        <is>
          <t>G1 - Globo</t>
        </is>
      </c>
      <c r="E85" s="17" t="inlineStr">
        <is>
          <t>Dinâmica Territorial &amp; Facções</t>
        </is>
      </c>
      <c r="F85" s="16" t="inlineStr">
        <is>
          <t>Disponível no Acervo</t>
        </is>
      </c>
      <c r="G85" s="17" t="inlineStr">
        <is>
          <t>Pesquisa / Portal: G1 - Globo</t>
        </is>
      </c>
    </row>
    <row r="86">
      <c r="A86" s="14" t="inlineStr">
        <is>
          <t>SRC-085</t>
        </is>
      </c>
      <c r="B86" s="15" t="inlineStr">
        <is>
          <t>Medellín superou o narcotráfico | Brasil de Fato (Parte 1)</t>
        </is>
      </c>
      <c r="C86" s="14" t="inlineStr">
        <is>
          <t>Web URL</t>
        </is>
      </c>
      <c r="D86" s="15" t="inlineStr">
        <is>
          <t>Brasil de Fato</t>
        </is>
      </c>
      <c r="E86" s="15" t="inlineStr">
        <is>
          <t>Estudos Comparados Internacionais</t>
        </is>
      </c>
      <c r="F86" s="14" t="inlineStr">
        <is>
          <t>Disponível no Acervo</t>
        </is>
      </c>
      <c r="G86" s="15" t="inlineStr">
        <is>
          <t>Pesquisa / Portal: Brasil de Fato</t>
        </is>
      </c>
    </row>
    <row r="87">
      <c r="A87" s="16" t="inlineStr">
        <is>
          <t>SRC-086</t>
        </is>
      </c>
      <c r="B87" s="17" t="inlineStr">
        <is>
          <t>Medellín superou o narcotráfico | Brasil de Fato (Parte 2)</t>
        </is>
      </c>
      <c r="C87" s="16" t="inlineStr">
        <is>
          <t>Web URL</t>
        </is>
      </c>
      <c r="D87" s="17" t="inlineStr">
        <is>
          <t>Brasil de Fato</t>
        </is>
      </c>
      <c r="E87" s="17" t="inlineStr">
        <is>
          <t>Estudos Comparados Internacionais</t>
        </is>
      </c>
      <c r="F87" s="16" t="inlineStr">
        <is>
          <t>Disponível no Acervo</t>
        </is>
      </c>
      <c r="G87" s="17" t="inlineStr">
        <is>
          <t>Pesquisa / Portal: Brasil de Fato</t>
        </is>
      </c>
    </row>
    <row r="88">
      <c r="A88" s="14" t="inlineStr">
        <is>
          <t>SRC-087</t>
        </is>
      </c>
      <c r="B88" s="15" t="inlineStr">
        <is>
          <t>Mercados ilegais, redes de proteção e organização local do crime no Rio de Janeiro</t>
        </is>
      </c>
      <c r="C88" s="14" t="inlineStr">
        <is>
          <t>Web URL</t>
        </is>
      </c>
      <c r="D88" s="15" t="inlineStr">
        <is>
          <t>SciELO / Michel Misse</t>
        </is>
      </c>
      <c r="E88" s="15" t="inlineStr">
        <is>
          <t>Fundamentos Teóricos &amp; Sociologia</t>
        </is>
      </c>
      <c r="F88" s="14" t="inlineStr">
        <is>
          <t>Disponível no Acervo</t>
        </is>
      </c>
      <c r="G88" s="15" t="inlineStr">
        <is>
          <t>Pesquisa / Portal: SciELO / Michel Misse</t>
        </is>
      </c>
    </row>
    <row r="89">
      <c r="A89" s="16" t="inlineStr">
        <is>
          <t>SRC-088</t>
        </is>
      </c>
      <c r="B89" s="17" t="inlineStr">
        <is>
          <t>Michel Misse - Google Scholar Profile &amp; Obras</t>
        </is>
      </c>
      <c r="C89" s="16" t="inlineStr">
        <is>
          <t>Web URL</t>
        </is>
      </c>
      <c r="D89" s="17" t="inlineStr">
        <is>
          <t>Google Scholar</t>
        </is>
      </c>
      <c r="E89" s="17" t="inlineStr">
        <is>
          <t>Fundamentos Teóricos &amp; Sociologia</t>
        </is>
      </c>
      <c r="F89" s="16" t="inlineStr">
        <is>
          <t>Disponível no Acervo</t>
        </is>
      </c>
      <c r="G89" s="17" t="inlineStr">
        <is>
          <t>Pesquisa / Portal: Google Scholar</t>
        </is>
      </c>
    </row>
    <row r="90">
      <c r="A90" s="14" t="inlineStr">
        <is>
          <t>SRC-089</t>
        </is>
      </c>
      <c r="B90" s="15" t="inlineStr">
        <is>
          <t>Milícia Privada: Prova e Desafios do Vínculo Associativo - Legale Educacional</t>
        </is>
      </c>
      <c r="C90" s="14" t="inlineStr">
        <is>
          <t>Web URL</t>
        </is>
      </c>
      <c r="D90" s="15" t="inlineStr">
        <is>
          <t>Legale Educacional</t>
        </is>
      </c>
      <c r="E90" s="15" t="inlineStr">
        <is>
          <t>Legislação Penal &amp; Tipificação</t>
        </is>
      </c>
      <c r="F90" s="14" t="inlineStr">
        <is>
          <t>Disponível no Acervo</t>
        </is>
      </c>
      <c r="G90" s="15" t="inlineStr">
        <is>
          <t>Pesquisa / Portal: Legale Educacional</t>
        </is>
      </c>
    </row>
    <row r="91">
      <c r="A91" s="16" t="inlineStr">
        <is>
          <t>SRC-090</t>
        </is>
      </c>
      <c r="B91" s="17" t="inlineStr">
        <is>
          <t>Milícia supera tráfico e controla mais da metade do território do RJ, aponta estudo</t>
        </is>
      </c>
      <c r="C91" s="16" t="inlineStr">
        <is>
          <t>Web URL</t>
        </is>
      </c>
      <c r="D91" s="17" t="inlineStr">
        <is>
          <t>UOL / Geni UFF</t>
        </is>
      </c>
      <c r="E91" s="17" t="inlineStr">
        <is>
          <t>Milícias &amp; Governança Armada</t>
        </is>
      </c>
      <c r="F91" s="16" t="inlineStr">
        <is>
          <t>Disponível no Acervo</t>
        </is>
      </c>
      <c r="G91" s="17" t="inlineStr">
        <is>
          <t>Pesquisa / Portal: UOL / Geni UFF</t>
        </is>
      </c>
    </row>
    <row r="92">
      <c r="A92" s="14" t="inlineStr">
        <is>
          <t>SRC-091</t>
        </is>
      </c>
      <c r="B92" s="15" t="inlineStr">
        <is>
          <t>Milícias e urbanização periférica, uma nova dinâmica de segregação na metrópole carioca (Parte 1)</t>
        </is>
      </c>
      <c r="C92" s="14" t="inlineStr">
        <is>
          <t>Web URL</t>
        </is>
      </c>
      <c r="D92" s="15" t="inlineStr">
        <is>
          <t>SciELO / Observatório Metrópoles</t>
        </is>
      </c>
      <c r="E92" s="15" t="inlineStr">
        <is>
          <t>Milícias &amp; Governança Armada</t>
        </is>
      </c>
      <c r="F92" s="14" t="inlineStr">
        <is>
          <t>Disponível no Acervo</t>
        </is>
      </c>
      <c r="G92" s="15" t="inlineStr">
        <is>
          <t>Pesquisa / Portal: SciELO / Observatório Metrópoles</t>
        </is>
      </c>
    </row>
    <row r="93">
      <c r="A93" s="16" t="inlineStr">
        <is>
          <t>SRC-092</t>
        </is>
      </c>
      <c r="B93" s="17" t="inlineStr">
        <is>
          <t>Milícias e urbanização periférica, uma nova dinâmica de segregação na metrópole carioca (Parte 2)</t>
        </is>
      </c>
      <c r="C93" s="16" t="inlineStr">
        <is>
          <t>Web URL</t>
        </is>
      </c>
      <c r="D93" s="17" t="inlineStr">
        <is>
          <t>SciELO / Observatório Metrópoles</t>
        </is>
      </c>
      <c r="E93" s="17" t="inlineStr">
        <is>
          <t>Milícias &amp; Governança Armada</t>
        </is>
      </c>
      <c r="F93" s="16" t="inlineStr">
        <is>
          <t>Disponível no Acervo</t>
        </is>
      </c>
      <c r="G93" s="17" t="inlineStr">
        <is>
          <t>Pesquisa / Portal: SciELO / Observatório Metrópoles</t>
        </is>
      </c>
    </row>
    <row r="94">
      <c r="A94" s="14" t="inlineStr">
        <is>
          <t>SRC-093</t>
        </is>
      </c>
      <c r="B94" s="15" t="inlineStr">
        <is>
          <t>Milícias e urbanização periférica, uma nova dinâmica de segregação na metrópole carioca (Parte 3)</t>
        </is>
      </c>
      <c r="C94" s="14" t="inlineStr">
        <is>
          <t>Web URL</t>
        </is>
      </c>
      <c r="D94" s="15" t="inlineStr">
        <is>
          <t>SciELO / Observatório Metrópoles</t>
        </is>
      </c>
      <c r="E94" s="15" t="inlineStr">
        <is>
          <t>Milícias &amp; Governança Armada</t>
        </is>
      </c>
      <c r="F94" s="14" t="inlineStr">
        <is>
          <t>Disponível no Acervo</t>
        </is>
      </c>
      <c r="G94" s="15" t="inlineStr">
        <is>
          <t>Pesquisa / Portal: SciELO / Observatório Metrópoles</t>
        </is>
      </c>
    </row>
    <row r="95">
      <c r="A95" s="16" t="inlineStr">
        <is>
          <t>SRC-094</t>
        </is>
      </c>
      <c r="B95" s="17" t="inlineStr">
        <is>
          <t>Na saída de Castro, orçamento da segurança do RJ tem queda inédita em seu governo</t>
        </is>
      </c>
      <c r="C95" s="16" t="inlineStr">
        <is>
          <t>Web URL</t>
        </is>
      </c>
      <c r="D95" s="17" t="inlineStr">
        <is>
          <t>G1 / Folha</t>
        </is>
      </c>
      <c r="E95" s="17" t="inlineStr">
        <is>
          <t>Políticas de Segurança &amp; Orçamento</t>
        </is>
      </c>
      <c r="F95" s="16" t="inlineStr">
        <is>
          <t>Disponível no Acervo</t>
        </is>
      </c>
      <c r="G95" s="17" t="inlineStr">
        <is>
          <t>Pesquisa / Portal: G1 / Folha</t>
        </is>
      </c>
    </row>
    <row r="96">
      <c r="A96" s="14" t="inlineStr">
        <is>
          <t>SRC-095</t>
        </is>
      </c>
      <c r="B96" s="15" t="inlineStr">
        <is>
          <t>Nexos entre droga, violência e crime organizado | Revista Brasileira de Sociologia - RBS</t>
        </is>
      </c>
      <c r="C96" s="14" t="inlineStr">
        <is>
          <t>Web URL</t>
        </is>
      </c>
      <c r="D96" s="15" t="inlineStr">
        <is>
          <t>Revista Brasileira de Sociologia</t>
        </is>
      </c>
      <c r="E96" s="15" t="inlineStr">
        <is>
          <t>Fundamentos Teóricos &amp; Sociologia</t>
        </is>
      </c>
      <c r="F96" s="14" t="inlineStr">
        <is>
          <t>Disponível no Acervo</t>
        </is>
      </c>
      <c r="G96" s="15" t="inlineStr">
        <is>
          <t>Pesquisa / Portal: Revista Brasileira de Sociologia</t>
        </is>
      </c>
    </row>
    <row r="97">
      <c r="A97" s="16" t="inlineStr">
        <is>
          <t>SRC-096</t>
        </is>
      </c>
      <c r="B97" s="17" t="inlineStr">
        <is>
          <t>No Rio, milícias chegam ao “asfalto”, aponta Mapa dos Grupos Armados do Instituto Fogo Cruzado | Brasil de Fato</t>
        </is>
      </c>
      <c r="C97" s="16" t="inlineStr">
        <is>
          <t>Web URL</t>
        </is>
      </c>
      <c r="D97" s="17" t="inlineStr">
        <is>
          <t>Brasil de Fato / Fogo Cruzado</t>
        </is>
      </c>
      <c r="E97" s="17" t="inlineStr">
        <is>
          <t>Milícias &amp; Governança Armada</t>
        </is>
      </c>
      <c r="F97" s="16" t="inlineStr">
        <is>
          <t>Disponível no Acervo</t>
        </is>
      </c>
      <c r="G97" s="17" t="inlineStr">
        <is>
          <t>Pesquisa / Portal: Brasil de Fato / Fogo Cruzado</t>
        </is>
      </c>
    </row>
    <row r="98">
      <c r="A98" s="14" t="inlineStr">
        <is>
          <t>SRC-097</t>
        </is>
      </c>
      <c r="B98" s="15" t="inlineStr">
        <is>
          <t>O Mosaico da Parastatalidade no Rio de Janeiro: Análise Histórica, Antropológica e Institucional do Crime Organizado</t>
        </is>
      </c>
      <c r="C98" s="14" t="inlineStr">
        <is>
          <t>Markdown</t>
        </is>
      </c>
      <c r="D98" s="15" t="inlineStr">
        <is>
          <t>Acervo do Projeto</t>
        </is>
      </c>
      <c r="E98" s="15" t="inlineStr">
        <is>
          <t>Fundamentos Teóricos &amp; Sociologia</t>
        </is>
      </c>
      <c r="F98" s="14" t="inlineStr">
        <is>
          <t>Disponível no Acervo</t>
        </is>
      </c>
      <c r="G98" s="15" t="inlineStr">
        <is>
          <t>Documento Interno do Projeto (Markdown)</t>
        </is>
      </c>
    </row>
    <row r="99">
      <c r="A99" s="16" t="inlineStr">
        <is>
          <t>SRC-098</t>
        </is>
      </c>
      <c r="B99" s="17" t="inlineStr">
        <is>
          <t>O PATRÃO E A PADROEIRA: MOMENTOS DE PERIGO NA PENHA, RIO DE JANEIRO* - SciELO</t>
        </is>
      </c>
      <c r="C99" s="16" t="inlineStr">
        <is>
          <t>Documento PDF</t>
        </is>
      </c>
      <c r="D99" s="17" t="inlineStr">
        <is>
          <t>SciELO (Etnografia de Favela)</t>
        </is>
      </c>
      <c r="E99" s="17" t="inlineStr">
        <is>
          <t>Antropologia Urbana &amp; Alba Zaluar</t>
        </is>
      </c>
      <c r="F99" s="16" t="inlineStr">
        <is>
          <t>Disponível no Acervo</t>
        </is>
      </c>
      <c r="G99" s="17" t="inlineStr">
        <is>
          <t>Acervo Digital PDF: O PATRÃO E A PADROEIRA: MOMENTOS DE PERIGO NA PENHA, RIO DE JANEIRO* - SciELO</t>
        </is>
      </c>
    </row>
    <row r="100">
      <c r="A100" s="14" t="inlineStr">
        <is>
          <t>SRC-099</t>
        </is>
      </c>
      <c r="B100" s="15" t="inlineStr">
        <is>
          <t>O Sistema Penitenciário Federal e o Crime Organizado no Brasil (Doc 1)</t>
        </is>
      </c>
      <c r="C100" s="14" t="inlineStr">
        <is>
          <t>Documento PDF</t>
        </is>
      </c>
      <c r="D100" s="15" t="inlineStr">
        <is>
          <t>DEPEN / Ministério da Justiça</t>
        </is>
      </c>
      <c r="E100" s="15" t="inlineStr">
        <is>
          <t>Sistema Carcerário &amp; Facções</t>
        </is>
      </c>
      <c r="F100" s="14" t="inlineStr">
        <is>
          <t>Disponível no Acervo</t>
        </is>
      </c>
      <c r="G100" s="15" t="inlineStr">
        <is>
          <t>Acervo Digital PDF: O Sistema Penitenciário Federal e o Crime Organizado no Brasil (Doc 1)</t>
        </is>
      </c>
    </row>
    <row r="101">
      <c r="A101" s="16" t="inlineStr">
        <is>
          <t>SRC-100</t>
        </is>
      </c>
      <c r="B101" s="17" t="inlineStr">
        <is>
          <t>O Sistema Penitenciário Federal e o Crime Organizado no Brasil (Doc 2)</t>
        </is>
      </c>
      <c r="C101" s="16" t="inlineStr">
        <is>
          <t>Documento PDF</t>
        </is>
      </c>
      <c r="D101" s="17" t="inlineStr">
        <is>
          <t>DEPEN / Ministério da Justiça</t>
        </is>
      </c>
      <c r="E101" s="17" t="inlineStr">
        <is>
          <t>Sistema Carcerário &amp; Facções</t>
        </is>
      </c>
      <c r="F101" s="16" t="inlineStr">
        <is>
          <t>Disponível no Acervo</t>
        </is>
      </c>
      <c r="G101" s="17" t="inlineStr">
        <is>
          <t>Acervo Digital PDF: O Sistema Penitenciário Federal e o Crime Organizado no Brasil (Doc 2)</t>
        </is>
      </c>
    </row>
    <row r="102">
      <c r="A102" s="14" t="inlineStr">
        <is>
          <t>SRC-101</t>
        </is>
      </c>
      <c r="B102" s="15" t="inlineStr">
        <is>
          <t>O crime é político: elementos teóricos para uma análise neoinstitucionalista das milícias no Rio de Janeiro - SciELO (Doc 1)</t>
        </is>
      </c>
      <c r="C102" s="14" t="inlineStr">
        <is>
          <t>Documento PDF</t>
        </is>
      </c>
      <c r="D102" s="15" t="inlineStr">
        <is>
          <t>SciELO</t>
        </is>
      </c>
      <c r="E102" s="15" t="inlineStr">
        <is>
          <t>Milícias &amp; Governança Armada</t>
        </is>
      </c>
      <c r="F102" s="14" t="inlineStr">
        <is>
          <t>Disponível no Acervo</t>
        </is>
      </c>
      <c r="G102" s="15" t="inlineStr">
        <is>
          <t>Acervo Digital PDF: O crime é político: elementos teóricos para uma análise neoinstitucionalista das milícias no Rio de Janeiro - SciELO (Doc 1)</t>
        </is>
      </c>
    </row>
    <row r="103">
      <c r="A103" s="16" t="inlineStr">
        <is>
          <t>SRC-102</t>
        </is>
      </c>
      <c r="B103" s="17" t="inlineStr">
        <is>
          <t>O crime é político: elementos teóricos para uma análise neoinstitucionalista das milícias no Rio de Janeiro - SciELO (Doc 2)</t>
        </is>
      </c>
      <c r="C103" s="16" t="inlineStr">
        <is>
          <t>Documento PDF</t>
        </is>
      </c>
      <c r="D103" s="17" t="inlineStr">
        <is>
          <t>SciELO</t>
        </is>
      </c>
      <c r="E103" s="17" t="inlineStr">
        <is>
          <t>Milícias &amp; Governança Armada</t>
        </is>
      </c>
      <c r="F103" s="16" t="inlineStr">
        <is>
          <t>Disponível no Acervo</t>
        </is>
      </c>
      <c r="G103" s="17" t="inlineStr">
        <is>
          <t>Acervo Digital PDF: O crime é político: elementos teóricos para uma análise neoinstitucionalista das milícias no Rio de Janeiro - SciELO (Doc 2)</t>
        </is>
      </c>
    </row>
    <row r="104">
      <c r="A104" s="14" t="inlineStr">
        <is>
          <t>SRC-103</t>
        </is>
      </c>
      <c r="B104" s="15" t="inlineStr">
        <is>
          <t>O crime é político: elementos teóricos para uma análise neoinstitucionalista das milícias no Rio de Janeiro - SciELO (Doc 3)</t>
        </is>
      </c>
      <c r="C104" s="14" t="inlineStr">
        <is>
          <t>Documento PDF</t>
        </is>
      </c>
      <c r="D104" s="15" t="inlineStr">
        <is>
          <t>SciELO</t>
        </is>
      </c>
      <c r="E104" s="15" t="inlineStr">
        <is>
          <t>Milícias &amp; Governança Armada</t>
        </is>
      </c>
      <c r="F104" s="14" t="inlineStr">
        <is>
          <t>Disponível no Acervo</t>
        </is>
      </c>
      <c r="G104" s="15" t="inlineStr">
        <is>
          <t>Acervo Digital PDF: O crime é político: elementos teóricos para uma análise neoinstitucionalista das milícias no Rio de Janeiro - SciELO (Doc 3)</t>
        </is>
      </c>
    </row>
    <row r="105">
      <c r="A105" s="16" t="inlineStr">
        <is>
          <t>SRC-104</t>
        </is>
      </c>
      <c r="B105" s="17" t="inlineStr">
        <is>
          <t>O crime é político: elementos teóricos para uma análise neoinstitucionalista das milícias no Rio de Janeiro - SciELO (Doc 4)</t>
        </is>
      </c>
      <c r="C105" s="16" t="inlineStr">
        <is>
          <t>Documento PDF</t>
        </is>
      </c>
      <c r="D105" s="17" t="inlineStr">
        <is>
          <t>SciELO</t>
        </is>
      </c>
      <c r="E105" s="17" t="inlineStr">
        <is>
          <t>Milícias &amp; Governança Armada</t>
        </is>
      </c>
      <c r="F105" s="16" t="inlineStr">
        <is>
          <t>Disponível no Acervo</t>
        </is>
      </c>
      <c r="G105" s="17" t="inlineStr">
        <is>
          <t>Acervo Digital PDF: O crime é político: elementos teóricos para uma análise neoinstitucionalista das milícias no Rio de Janeiro - SciELO (Doc 4)</t>
        </is>
      </c>
    </row>
    <row r="106">
      <c r="A106" s="14" t="inlineStr">
        <is>
          <t>SRC-105</t>
        </is>
      </c>
      <c r="B106" s="15" t="inlineStr">
        <is>
          <t>O encontro da militância com a vadiagem nas prisões da Ilha Grande - SciELO</t>
        </is>
      </c>
      <c r="C106" s="14" t="inlineStr">
        <is>
          <t>Web URL</t>
        </is>
      </c>
      <c r="D106" s="15" t="inlineStr">
        <is>
          <t>SciELO</t>
        </is>
      </c>
      <c r="E106" s="15" t="inlineStr">
        <is>
          <t>Sistema Carcerário &amp; Facções</t>
        </is>
      </c>
      <c r="F106" s="14" t="inlineStr">
        <is>
          <t>Disponível no Acervo</t>
        </is>
      </c>
      <c r="G106" s="15" t="inlineStr">
        <is>
          <t>Pesquisa / Portal: SciELO</t>
        </is>
      </c>
    </row>
    <row r="107">
      <c r="A107" s="16" t="inlineStr">
        <is>
          <t>SRC-106</t>
        </is>
      </c>
      <c r="B107" s="17" t="inlineStr">
        <is>
          <t>O panóptico criminal: poder armado, vigilância e expansão transnacional do PCC e CV* - Revista UFRJ (Doc 1)</t>
        </is>
      </c>
      <c r="C107" s="16" t="inlineStr">
        <is>
          <t>Documento PDF</t>
        </is>
      </c>
      <c r="D107" s="17" t="inlineStr">
        <is>
          <t>Revista UFRJ</t>
        </is>
      </c>
      <c r="E107" s="17" t="inlineStr">
        <is>
          <t>Guerra de Facções &amp; PCC/CV</t>
        </is>
      </c>
      <c r="F107" s="16" t="inlineStr">
        <is>
          <t>Disponível no Acervo</t>
        </is>
      </c>
      <c r="G107" s="17" t="inlineStr">
        <is>
          <t>Acervo Digital PDF: O panóptico criminal: poder armado, vigilância e expansão transnacional do PCC e CV* - Revista UFRJ (Doc 1)</t>
        </is>
      </c>
    </row>
    <row r="108">
      <c r="A108" s="14" t="inlineStr">
        <is>
          <t>SRC-107</t>
        </is>
      </c>
      <c r="B108" s="15" t="inlineStr">
        <is>
          <t>O panóptico criminal: poder armado, vigilância e expansão transnacional do PCC e CV* - Revista UFRJ (Doc 2)</t>
        </is>
      </c>
      <c r="C108" s="14" t="inlineStr">
        <is>
          <t>Documento PDF</t>
        </is>
      </c>
      <c r="D108" s="15" t="inlineStr">
        <is>
          <t>Revista UFRJ</t>
        </is>
      </c>
      <c r="E108" s="15" t="inlineStr">
        <is>
          <t>Guerra de Facções &amp; PCC/CV</t>
        </is>
      </c>
      <c r="F108" s="14" t="inlineStr">
        <is>
          <t>Disponível no Acervo</t>
        </is>
      </c>
      <c r="G108" s="15" t="inlineStr">
        <is>
          <t>Acervo Digital PDF: O panóptico criminal: poder armado, vigilância e expansão transnacional do PCC e CV* - Revista UFRJ (Doc 2)</t>
        </is>
      </c>
    </row>
    <row r="109">
      <c r="A109" s="16" t="inlineStr">
        <is>
          <t>SRC-108</t>
        </is>
      </c>
      <c r="B109" s="17" t="inlineStr">
        <is>
          <t>O que são as milícias? - PSTU</t>
        </is>
      </c>
      <c r="C109" s="16" t="inlineStr">
        <is>
          <t>Web URL</t>
        </is>
      </c>
      <c r="D109" s="17" t="inlineStr">
        <is>
          <t>Portal PSTU</t>
        </is>
      </c>
      <c r="E109" s="17" t="inlineStr">
        <is>
          <t>Milícias &amp; Governança Armada</t>
        </is>
      </c>
      <c r="F109" s="16" t="inlineStr">
        <is>
          <t>Disponível no Acervo</t>
        </is>
      </c>
      <c r="G109" s="17" t="inlineStr">
        <is>
          <t>Pesquisa / Portal: Portal PSTU</t>
        </is>
      </c>
    </row>
    <row r="110">
      <c r="A110" s="14" t="inlineStr">
        <is>
          <t>SRC-109</t>
        </is>
      </c>
      <c r="B110" s="15" t="inlineStr">
        <is>
          <t>Observações da visita de trabalho ao Brasil: Operação Contenção (Doc 1)</t>
        </is>
      </c>
      <c r="C110" s="14" t="inlineStr">
        <is>
          <t>Documento PDF</t>
        </is>
      </c>
      <c r="D110" s="15" t="inlineStr">
        <is>
          <t>Comissão Interamericana DH (OEA)</t>
        </is>
      </c>
      <c r="E110" s="15" t="inlineStr">
        <is>
          <t>Letalidade Policial &amp; Direitos Humanos</t>
        </is>
      </c>
      <c r="F110" s="14" t="inlineStr">
        <is>
          <t>Disponível no Acervo</t>
        </is>
      </c>
      <c r="G110" s="15" t="inlineStr">
        <is>
          <t>Acervo Digital PDF: Observações da visita de trabalho ao Brasil: Operação Contenção (Doc 1)</t>
        </is>
      </c>
    </row>
    <row r="111">
      <c r="A111" s="16" t="inlineStr">
        <is>
          <t>SRC-110</t>
        </is>
      </c>
      <c r="B111" s="17" t="inlineStr">
        <is>
          <t>Observações da visita de trabalho ao Brasil: Operação Contenção (Doc 2)</t>
        </is>
      </c>
      <c r="C111" s="16" t="inlineStr">
        <is>
          <t>Documento PDF</t>
        </is>
      </c>
      <c r="D111" s="17" t="inlineStr">
        <is>
          <t>Comissão Interamericana DH (OEA)</t>
        </is>
      </c>
      <c r="E111" s="17" t="inlineStr">
        <is>
          <t>Letalidade Policial &amp; Direitos Humanos</t>
        </is>
      </c>
      <c r="F111" s="16" t="inlineStr">
        <is>
          <t>Disponível no Acervo</t>
        </is>
      </c>
      <c r="G111" s="17" t="inlineStr">
        <is>
          <t>Acervo Digital PDF: Observações da visita de trabalho ao Brasil: Operação Contenção (Doc 2)</t>
        </is>
      </c>
    </row>
    <row r="112">
      <c r="A112" s="14" t="inlineStr">
        <is>
          <t>SRC-111</t>
        </is>
      </c>
      <c r="B112" s="15" t="inlineStr">
        <is>
          <t>Observações da visita de trabalho ao Brasil: Operação Contenção (Doc 3)</t>
        </is>
      </c>
      <c r="C112" s="14" t="inlineStr">
        <is>
          <t>Documento PDF</t>
        </is>
      </c>
      <c r="D112" s="15" t="inlineStr">
        <is>
          <t>Comissão Interamericana DH (OEA)</t>
        </is>
      </c>
      <c r="E112" s="15" t="inlineStr">
        <is>
          <t>Letalidade Policial &amp; Direitos Humanos</t>
        </is>
      </c>
      <c r="F112" s="14" t="inlineStr">
        <is>
          <t>Disponível no Acervo</t>
        </is>
      </c>
      <c r="G112" s="15" t="inlineStr">
        <is>
          <t>Acervo Digital PDF: Observações da visita de trabalho ao Brasil: Operação Contenção (Doc 3)</t>
        </is>
      </c>
    </row>
    <row r="113">
      <c r="A113" s="16" t="inlineStr">
        <is>
          <t>SRC-112</t>
        </is>
      </c>
      <c r="B113" s="17" t="inlineStr">
        <is>
          <t>Oficina del Crimen - Wikipedia, la enciclopedia libre</t>
        </is>
      </c>
      <c r="C113" s="16" t="inlineStr">
        <is>
          <t>Web URL</t>
        </is>
      </c>
      <c r="D113" s="17" t="inlineStr">
        <is>
          <t>Wikipedia</t>
        </is>
      </c>
      <c r="E113" s="17" t="inlineStr">
        <is>
          <t>Estudos Comparados Internacionais</t>
        </is>
      </c>
      <c r="F113" s="16" t="inlineStr">
        <is>
          <t>Disponível no Acervo</t>
        </is>
      </c>
      <c r="G113" s="17" t="inlineStr">
        <is>
          <t>Pesquisa / Portal: Wikipedia</t>
        </is>
      </c>
    </row>
    <row r="114">
      <c r="A114" s="14" t="inlineStr">
        <is>
          <t>SRC-113</t>
        </is>
      </c>
      <c r="B114" s="15" t="inlineStr">
        <is>
          <t>Operação Calicute – Wikipédia, a enciclopédia livre</t>
        </is>
      </c>
      <c r="C114" s="14" t="inlineStr">
        <is>
          <t>Web URL</t>
        </is>
      </c>
      <c r="D114" s="15" t="inlineStr">
        <is>
          <t>Wikipédia</t>
        </is>
      </c>
      <c r="E114" s="15" t="inlineStr">
        <is>
          <t>Corrupção &amp; Política Fluminense</t>
        </is>
      </c>
      <c r="F114" s="14" t="inlineStr">
        <is>
          <t>Disponível no Acervo</t>
        </is>
      </c>
      <c r="G114" s="15" t="inlineStr">
        <is>
          <t>Pesquisa / Portal: Wikipédia</t>
        </is>
      </c>
    </row>
    <row r="115">
      <c r="A115" s="16" t="inlineStr">
        <is>
          <t>SRC-114</t>
        </is>
      </c>
      <c r="B115" s="17" t="inlineStr">
        <is>
          <t>Operações Policiais no Rio de Janeiro (2006-2020). Da lacuna estatística ao ativismo de dados - SciELO (Parte 1)</t>
        </is>
      </c>
      <c r="C115" s="16" t="inlineStr">
        <is>
          <t>Web URL</t>
        </is>
      </c>
      <c r="D115" s="17" t="inlineStr">
        <is>
          <t>SciELO / GENI UFF</t>
        </is>
      </c>
      <c r="E115" s="17" t="inlineStr">
        <is>
          <t>Letalidade Policial &amp; ADPF 635</t>
        </is>
      </c>
      <c r="F115" s="16" t="inlineStr">
        <is>
          <t>Disponível no Acervo</t>
        </is>
      </c>
      <c r="G115" s="17" t="inlineStr">
        <is>
          <t>Pesquisa / Portal: SciELO / GENI UFF</t>
        </is>
      </c>
    </row>
    <row r="116">
      <c r="A116" s="14" t="inlineStr">
        <is>
          <t>SRC-115</t>
        </is>
      </c>
      <c r="B116" s="15" t="inlineStr">
        <is>
          <t>Operações Policiais no Rio de Janeiro (2006-2020). Da lacuna estatística ao ativismo de dados - SciELO (Parte 2)</t>
        </is>
      </c>
      <c r="C116" s="14" t="inlineStr">
        <is>
          <t>Web URL</t>
        </is>
      </c>
      <c r="D116" s="15" t="inlineStr">
        <is>
          <t>SciELO / GENI UFF</t>
        </is>
      </c>
      <c r="E116" s="15" t="inlineStr">
        <is>
          <t>Letalidade Policial &amp; ADPF 635</t>
        </is>
      </c>
      <c r="F116" s="14" t="inlineStr">
        <is>
          <t>Disponível no Acervo</t>
        </is>
      </c>
      <c r="G116" s="15" t="inlineStr">
        <is>
          <t>Pesquisa / Portal: SciELO / GENI UFF</t>
        </is>
      </c>
    </row>
    <row r="117">
      <c r="A117" s="16" t="inlineStr">
        <is>
          <t>SRC-116</t>
        </is>
      </c>
      <c r="B117" s="17" t="inlineStr">
        <is>
          <t>Organização nasceu do convívio com grupos de combate ao regime militar - Folha</t>
        </is>
      </c>
      <c r="C117" s="16" t="inlineStr">
        <is>
          <t>Web URL</t>
        </is>
      </c>
      <c r="D117" s="17" t="inlineStr">
        <is>
          <t>Folha de S.Paulo</t>
        </is>
      </c>
      <c r="E117" s="17" t="inlineStr">
        <is>
          <t>História das Facções do Tráfico</t>
        </is>
      </c>
      <c r="F117" s="16" t="inlineStr">
        <is>
          <t>Disponível no Acervo</t>
        </is>
      </c>
      <c r="G117" s="17" t="inlineStr">
        <is>
          <t>Pesquisa / Portal: Folha de S.Paulo</t>
        </is>
      </c>
    </row>
    <row r="118">
      <c r="A118" s="14" t="inlineStr">
        <is>
          <t>SRC-117</t>
        </is>
      </c>
      <c r="B118" s="15" t="inlineStr">
        <is>
          <t>Origem do Comando Vermelho – História em Prosa</t>
        </is>
      </c>
      <c r="C118" s="14" t="inlineStr">
        <is>
          <t>Web URL</t>
        </is>
      </c>
      <c r="D118" s="15" t="inlineStr">
        <is>
          <t>História em Prosa</t>
        </is>
      </c>
      <c r="E118" s="15" t="inlineStr">
        <is>
          <t>História das Facções do Tráfico</t>
        </is>
      </c>
      <c r="F118" s="14" t="inlineStr">
        <is>
          <t>Disponível no Acervo</t>
        </is>
      </c>
      <c r="G118" s="15" t="inlineStr">
        <is>
          <t>Pesquisa / Portal: História em Prosa</t>
        </is>
      </c>
    </row>
    <row r="119">
      <c r="A119" s="16" t="inlineStr">
        <is>
          <t>SRC-118</t>
        </is>
      </c>
      <c r="B119" s="17" t="inlineStr">
        <is>
          <t>Orlando Jogador – Wikipédia, a enciclopédia livre</t>
        </is>
      </c>
      <c r="C119" s="16" t="inlineStr">
        <is>
          <t>Web URL</t>
        </is>
      </c>
      <c r="D119" s="17" t="inlineStr">
        <is>
          <t>Wikipédia</t>
        </is>
      </c>
      <c r="E119" s="17" t="inlineStr">
        <is>
          <t>História das Facções do Tráfico</t>
        </is>
      </c>
      <c r="F119" s="16" t="inlineStr">
        <is>
          <t>Disponível no Acervo</t>
        </is>
      </c>
      <c r="G119" s="17" t="inlineStr">
        <is>
          <t>Pesquisa / Portal: Wikipédia</t>
        </is>
      </c>
    </row>
    <row r="120">
      <c r="A120" s="14" t="inlineStr">
        <is>
          <t>SRC-119</t>
        </is>
      </c>
      <c r="B120" s="15" t="inlineStr">
        <is>
          <t>Orçamento da segurança do RJ cai em 2026 pela primeira vez no governo Cláudio Castro</t>
        </is>
      </c>
      <c r="C120" s="14" t="inlineStr">
        <is>
          <t>Web URL</t>
        </is>
      </c>
      <c r="D120" s="15" t="inlineStr">
        <is>
          <t>G1 / Folha</t>
        </is>
      </c>
      <c r="E120" s="15" t="inlineStr">
        <is>
          <t>Políticas de Segurança &amp; Orçamento</t>
        </is>
      </c>
      <c r="F120" s="14" t="inlineStr">
        <is>
          <t>Disponível no Acervo</t>
        </is>
      </c>
      <c r="G120" s="15" t="inlineStr">
        <is>
          <t>Pesquisa / Portal: G1 / Folha</t>
        </is>
      </c>
    </row>
    <row r="121">
      <c r="A121" s="16" t="inlineStr">
        <is>
          <t>SRC-120</t>
        </is>
      </c>
      <c r="B121" s="17" t="inlineStr">
        <is>
          <t>PCC e CV: relatório aponta ligação entre facções no Rio de Janeiro - CNN Brasil (Doc 1)</t>
        </is>
      </c>
      <c r="C121" s="16" t="inlineStr">
        <is>
          <t>Web URL</t>
        </is>
      </c>
      <c r="D121" s="17" t="inlineStr">
        <is>
          <t>CNN Brasil</t>
        </is>
      </c>
      <c r="E121" s="17" t="inlineStr">
        <is>
          <t>Guerra de Facções &amp; PCC/CV</t>
        </is>
      </c>
      <c r="F121" s="16" t="inlineStr">
        <is>
          <t>Disponível no Acervo</t>
        </is>
      </c>
      <c r="G121" s="17" t="inlineStr">
        <is>
          <t>Pesquisa / Portal: CNN Brasil</t>
        </is>
      </c>
    </row>
    <row r="122">
      <c r="A122" s="14" t="inlineStr">
        <is>
          <t>SRC-121</t>
        </is>
      </c>
      <c r="B122" s="15" t="inlineStr">
        <is>
          <t>PCC e CV: relatório aponta ligação entre facções no Rio de Janeiro - CNN Brasil (Doc 2)</t>
        </is>
      </c>
      <c r="C122" s="14" t="inlineStr">
        <is>
          <t>Web URL</t>
        </is>
      </c>
      <c r="D122" s="15" t="inlineStr">
        <is>
          <t>CNN Brasil</t>
        </is>
      </c>
      <c r="E122" s="15" t="inlineStr">
        <is>
          <t>Guerra de Facções &amp; PCC/CV</t>
        </is>
      </c>
      <c r="F122" s="14" t="inlineStr">
        <is>
          <t>Disponível no Acervo</t>
        </is>
      </c>
      <c r="G122" s="15" t="inlineStr">
        <is>
          <t>Pesquisa / Portal: CNN Brasil</t>
        </is>
      </c>
    </row>
    <row r="123">
      <c r="A123" s="16" t="inlineStr">
        <is>
          <t>SRC-122</t>
        </is>
      </c>
      <c r="B123" s="17" t="inlineStr">
        <is>
          <t>Parte Geral - Portal de Periódicos do IDP</t>
        </is>
      </c>
      <c r="C123" s="16" t="inlineStr">
        <is>
          <t>Documento PDF</t>
        </is>
      </c>
      <c r="D123" s="17" t="inlineStr">
        <is>
          <t>Portal IDP</t>
        </is>
      </c>
      <c r="E123" s="17" t="inlineStr">
        <is>
          <t>Legislação Penal &amp; Tipificação</t>
        </is>
      </c>
      <c r="F123" s="16" t="inlineStr">
        <is>
          <t>Disponível no Acervo</t>
        </is>
      </c>
      <c r="G123" s="17" t="inlineStr">
        <is>
          <t>Acervo Digital PDF: Parte Geral - Portal de Periódicos do IDP</t>
        </is>
      </c>
    </row>
    <row r="124">
      <c r="A124" s="14" t="inlineStr">
        <is>
          <t>SRC-123</t>
        </is>
      </c>
      <c r="B124" s="15" t="inlineStr">
        <is>
          <t>Pesquisa mostra que só 1,9% do Rio escapa do tráfico e da milícia | Exame</t>
        </is>
      </c>
      <c r="C124" s="14" t="inlineStr">
        <is>
          <t>Web URL</t>
        </is>
      </c>
      <c r="D124" s="15" t="inlineStr">
        <is>
          <t>Revista Exame / Geni UFF</t>
        </is>
      </c>
      <c r="E124" s="15" t="inlineStr">
        <is>
          <t>Dinâmica Territorial &amp; Facções</t>
        </is>
      </c>
      <c r="F124" s="14" t="inlineStr">
        <is>
          <t>Disponível no Acervo</t>
        </is>
      </c>
      <c r="G124" s="15" t="inlineStr">
        <is>
          <t>Pesquisa / Portal: Revista Exame / Geni UFF</t>
        </is>
      </c>
    </row>
    <row r="125">
      <c r="A125" s="16" t="inlineStr">
        <is>
          <t>SRC-124</t>
        </is>
      </c>
      <c r="B125" s="17" t="inlineStr">
        <is>
          <t>Petição de impeachment Witzel minuta 02.cdr - Poder360</t>
        </is>
      </c>
      <c r="C125" s="16" t="inlineStr">
        <is>
          <t>Documento PDF</t>
        </is>
      </c>
      <c r="D125" s="17" t="inlineStr">
        <is>
          <t>Poder360 / Alerj</t>
        </is>
      </c>
      <c r="E125" s="17" t="inlineStr">
        <is>
          <t>Corrupção &amp; Política Fluminense</t>
        </is>
      </c>
      <c r="F125" s="16" t="inlineStr">
        <is>
          <t>Disponível no Acervo</t>
        </is>
      </c>
      <c r="G125" s="17" t="inlineStr">
        <is>
          <t>Acervo Digital PDF: Petição de impeachment Witzel minuta 02.cdr - Poder360</t>
        </is>
      </c>
    </row>
    <row r="126">
      <c r="A126" s="14" t="inlineStr">
        <is>
          <t>SRC-125</t>
        </is>
      </c>
      <c r="B126" s="15" t="inlineStr">
        <is>
          <t>Polícia Cidadã - um parecer sobre o Plano de Redução de Letalidade Policial do Rio de Janeiro - Comissão Arns</t>
        </is>
      </c>
      <c r="C126" s="14" t="inlineStr">
        <is>
          <t>Documento PDF</t>
        </is>
      </c>
      <c r="D126" s="15" t="inlineStr">
        <is>
          <t>Comissão Arns</t>
        </is>
      </c>
      <c r="E126" s="15" t="inlineStr">
        <is>
          <t>Letalidade Policial &amp; ADPF 635</t>
        </is>
      </c>
      <c r="F126" s="14" t="inlineStr">
        <is>
          <t>Disponível no Acervo</t>
        </is>
      </c>
      <c r="G126" s="15" t="inlineStr">
        <is>
          <t>Acervo Digital PDF: Polícia Cidadã - um parecer sobre o Plano de Redução de Letalidade Policial do Rio de Janeiro - Comissão Arns</t>
        </is>
      </c>
    </row>
    <row r="127">
      <c r="A127" s="16" t="inlineStr">
        <is>
          <t>SRC-126</t>
        </is>
      </c>
      <c r="B127" s="17" t="inlineStr">
        <is>
          <t>Quais são as facções criminosas do Rio de Janeiro? - Exame</t>
        </is>
      </c>
      <c r="C127" s="16" t="inlineStr">
        <is>
          <t>Web URL</t>
        </is>
      </c>
      <c r="D127" s="17" t="inlineStr">
        <is>
          <t>Revista Exame</t>
        </is>
      </c>
      <c r="E127" s="17" t="inlineStr">
        <is>
          <t>História das Facções do Tráfico</t>
        </is>
      </c>
      <c r="F127" s="16" t="inlineStr">
        <is>
          <t>Disponível no Acervo</t>
        </is>
      </c>
      <c r="G127" s="17" t="inlineStr">
        <is>
          <t>Pesquisa / Portal: Revista Exame</t>
        </is>
      </c>
    </row>
    <row r="128">
      <c r="A128" s="14" t="inlineStr">
        <is>
          <t>SRC-127</t>
        </is>
      </c>
      <c r="B128" s="15" t="inlineStr">
        <is>
          <t>Quem são Rivaldo Barbosa e Irmãos Brazão, delatados por Lessa</t>
        </is>
      </c>
      <c r="C128" s="14" t="inlineStr">
        <is>
          <t>Web URL</t>
        </is>
      </c>
      <c r="D128" s="15" t="inlineStr">
        <is>
          <t>G1 / Agência Pública</t>
        </is>
      </c>
      <c r="E128" s="15" t="inlineStr">
        <is>
          <t>Caso Marielle &amp; Conexões Políticas</t>
        </is>
      </c>
      <c r="F128" s="14" t="inlineStr">
        <is>
          <t>Disponível no Acervo</t>
        </is>
      </c>
      <c r="G128" s="15" t="inlineStr">
        <is>
          <t>Pesquisa / Portal: G1 / Agência Pública</t>
        </is>
      </c>
    </row>
    <row r="129">
      <c r="A129" s="16" t="inlineStr">
        <is>
          <t>SRC-128</t>
        </is>
      </c>
      <c r="B129" s="17" t="inlineStr">
        <is>
          <t>Quem são os 'puxadores de guerra', alvo de operação contra narcomilícia no Rio de Janeiro - Revista Veja</t>
        </is>
      </c>
      <c r="C129" s="16" t="inlineStr">
        <is>
          <t>Web URL</t>
        </is>
      </c>
      <c r="D129" s="17" t="inlineStr">
        <is>
          <t>Revista Veja</t>
        </is>
      </c>
      <c r="E129" s="17" t="inlineStr">
        <is>
          <t>Dinâmica Territorial &amp; Facções</t>
        </is>
      </c>
      <c r="F129" s="16" t="inlineStr">
        <is>
          <t>Disponível no Acervo</t>
        </is>
      </c>
      <c r="G129" s="17" t="inlineStr">
        <is>
          <t>Pesquisa / Portal: Revista Veja</t>
        </is>
      </c>
    </row>
    <row r="130">
      <c r="A130" s="14" t="inlineStr">
        <is>
          <t>SRC-129</t>
        </is>
      </c>
      <c r="B130" s="15" t="inlineStr">
        <is>
          <t>Refuncionalização do remanescente industrial na cidade do Rio de Janeiro - SciELO</t>
        </is>
      </c>
      <c r="C130" s="14" t="inlineStr">
        <is>
          <t>Web URL</t>
        </is>
      </c>
      <c r="D130" s="15" t="inlineStr">
        <is>
          <t>SciELO / PROURB UFRJ</t>
        </is>
      </c>
      <c r="E130" s="15" t="inlineStr">
        <is>
          <t>Economia &amp; Desindustrialização</t>
        </is>
      </c>
      <c r="F130" s="14" t="inlineStr">
        <is>
          <t>Disponível no Acervo</t>
        </is>
      </c>
      <c r="G130" s="15" t="inlineStr">
        <is>
          <t>Pesquisa / Portal: SciELO / PROURB UFRJ</t>
        </is>
      </c>
    </row>
    <row r="131">
      <c r="A131" s="16" t="inlineStr">
        <is>
          <t>SRC-130</t>
        </is>
      </c>
      <c r="B131" s="17" t="inlineStr">
        <is>
          <t>Rio das Pedras, última base da milícia na região, vira alvo do CV em disputa por território</t>
        </is>
      </c>
      <c r="C131" s="16" t="inlineStr">
        <is>
          <t>Web URL</t>
        </is>
      </c>
      <c r="D131" s="17" t="inlineStr">
        <is>
          <t>G1 - Globo</t>
        </is>
      </c>
      <c r="E131" s="17" t="inlineStr">
        <is>
          <t>Milícias &amp; Governança Armada</t>
        </is>
      </c>
      <c r="F131" s="16" t="inlineStr">
        <is>
          <t>Disponível no Acervo</t>
        </is>
      </c>
      <c r="G131" s="17" t="inlineStr">
        <is>
          <t>Pesquisa / Portal: G1 - Globo</t>
        </is>
      </c>
    </row>
    <row r="132">
      <c r="A132" s="14" t="inlineStr">
        <is>
          <t>SRC-131</t>
        </is>
      </c>
      <c r="B132" s="15" t="inlineStr">
        <is>
          <t>SELETIVIDADE PENAL E INTERSECCIONALIDADE ENTRE RAÇA E CLASSE SOCIAL NO JULGAMENTO DA LIMINAR DA ADPF 635</t>
        </is>
      </c>
      <c r="C132" s="14" t="inlineStr">
        <is>
          <t>Documento PDF</t>
        </is>
      </c>
      <c r="D132" s="15" t="inlineStr">
        <is>
          <t>Portal IDP</t>
        </is>
      </c>
      <c r="E132" s="15" t="inlineStr">
        <is>
          <t>Letalidade Policial &amp; ADPF 635</t>
        </is>
      </c>
      <c r="F132" s="14" t="inlineStr">
        <is>
          <t>Disponível no Acervo</t>
        </is>
      </c>
      <c r="G132" s="15" t="inlineStr">
        <is>
          <t>Acervo Digital PDF: SELETIVIDADE PENAL E INTERSECCIONALIDADE ENTRE RAÇA E CLASSE SOCIAL NO JULGAMENTO DA LIMINAR DA ADPF 635</t>
        </is>
      </c>
    </row>
    <row r="133">
      <c r="A133" s="16" t="inlineStr">
        <is>
          <t>SRC-132</t>
        </is>
      </c>
      <c r="B133" s="17" t="inlineStr">
        <is>
          <t>STF Condena Irmãos Brazão por Assassinato de Marielle Franco - Defensoria Pública do Rio de Janeiro</t>
        </is>
      </c>
      <c r="C133" s="16" t="inlineStr">
        <is>
          <t>Web URL</t>
        </is>
      </c>
      <c r="D133" s="17" t="inlineStr">
        <is>
          <t>Defensoria Pública RJ / STF</t>
        </is>
      </c>
      <c r="E133" s="17" t="inlineStr">
        <is>
          <t>Caso Marielle &amp; Conexões Políticas</t>
        </is>
      </c>
      <c r="F133" s="16" t="inlineStr">
        <is>
          <t>Disponível no Acervo</t>
        </is>
      </c>
      <c r="G133" s="17" t="inlineStr">
        <is>
          <t>Pesquisa / Portal: Defensoria Pública RJ / STF</t>
        </is>
      </c>
    </row>
    <row r="134">
      <c r="A134" s="14" t="inlineStr">
        <is>
          <t>SRC-133</t>
        </is>
      </c>
      <c r="B134" s="15" t="inlineStr">
        <is>
          <t>Saiba o que é o grupo paramilitar Scuderia Le Coq, que age no ES - 12/07/2002 - Folha</t>
        </is>
      </c>
      <c r="C134" s="14" t="inlineStr">
        <is>
          <t>Web URL</t>
        </is>
      </c>
      <c r="D134" s="15" t="inlineStr">
        <is>
          <t>Folha de S.Paulo</t>
        </is>
      </c>
      <c r="E134" s="15" t="inlineStr">
        <is>
          <t>Esquadrões da Morte &amp; Parastatalidade</t>
        </is>
      </c>
      <c r="F134" s="14" t="inlineStr">
        <is>
          <t>Disponível no Acervo</t>
        </is>
      </c>
      <c r="G134" s="15" t="inlineStr">
        <is>
          <t>Pesquisa / Portal: Folha de S.Paulo</t>
        </is>
      </c>
    </row>
    <row r="135">
      <c r="A135" s="16" t="inlineStr">
        <is>
          <t>SRC-134</t>
        </is>
      </c>
      <c r="B135" s="17" t="inlineStr">
        <is>
          <t>Sobre a acumulação social da violência no Rio de Janeiro (resenha)</t>
        </is>
      </c>
      <c r="C135" s="16" t="inlineStr">
        <is>
          <t>Web URL</t>
        </is>
      </c>
      <c r="D135" s="17" t="inlineStr">
        <is>
          <t>Resenha Acadêmica</t>
        </is>
      </c>
      <c r="E135" s="17" t="inlineStr">
        <is>
          <t>Fundamentos Teóricos &amp; Sociologia</t>
        </is>
      </c>
      <c r="F135" s="16" t="inlineStr">
        <is>
          <t>Disponível no Acervo</t>
        </is>
      </c>
      <c r="G135" s="17" t="inlineStr">
        <is>
          <t>Pesquisa / Portal: Resenha Acadêmica</t>
        </is>
      </c>
    </row>
    <row r="136">
      <c r="A136" s="14" t="inlineStr">
        <is>
          <t>SRC-135</t>
        </is>
      </c>
      <c r="B136" s="15" t="inlineStr">
        <is>
          <t>Sobre a acumulação social da violência no Rio de Janeiro* - Pucrs (Doc 1)</t>
        </is>
      </c>
      <c r="C136" s="14" t="inlineStr">
        <is>
          <t>Documento PDF</t>
        </is>
      </c>
      <c r="D136" s="15" t="inlineStr">
        <is>
          <t>PUCRS</t>
        </is>
      </c>
      <c r="E136" s="15" t="inlineStr">
        <is>
          <t>Fundamentos Teóricos &amp; Sociologia</t>
        </is>
      </c>
      <c r="F136" s="14" t="inlineStr">
        <is>
          <t>Disponível no Acervo</t>
        </is>
      </c>
      <c r="G136" s="15" t="inlineStr">
        <is>
          <t>Acervo Digital PDF: Sobre a acumulação social da violência no Rio de Janeiro* - Pucrs (Doc 1)</t>
        </is>
      </c>
    </row>
    <row r="137">
      <c r="A137" s="16" t="inlineStr">
        <is>
          <t>SRC-136</t>
        </is>
      </c>
      <c r="B137" s="17" t="inlineStr">
        <is>
          <t>Sobre a acumulação social da violência no Rio de Janeiro* - Pucrs (Doc 2)</t>
        </is>
      </c>
      <c r="C137" s="16" t="inlineStr">
        <is>
          <t>Documento PDF</t>
        </is>
      </c>
      <c r="D137" s="17" t="inlineStr">
        <is>
          <t>PUCRS</t>
        </is>
      </c>
      <c r="E137" s="17" t="inlineStr">
        <is>
          <t>Fundamentos Teóricos &amp; Sociologia</t>
        </is>
      </c>
      <c r="F137" s="16" t="inlineStr">
        <is>
          <t>Disponível no Acervo</t>
        </is>
      </c>
      <c r="G137" s="17" t="inlineStr">
        <is>
          <t>Acervo Digital PDF: Sobre a acumulação social da violência no Rio de Janeiro* - Pucrs (Doc 2)</t>
        </is>
      </c>
    </row>
    <row r="138">
      <c r="A138" s="14" t="inlineStr">
        <is>
          <t>SRC-137</t>
        </is>
      </c>
      <c r="B138" s="15" t="inlineStr">
        <is>
          <t>Sustentação Oral - AP 2434 - MPF no STF</t>
        </is>
      </c>
      <c r="C138" s="14" t="inlineStr">
        <is>
          <t>Documento PDF</t>
        </is>
      </c>
      <c r="D138" s="15" t="inlineStr">
        <is>
          <t>Ministério Público Federal</t>
        </is>
      </c>
      <c r="E138" s="15" t="inlineStr">
        <is>
          <t>Caso Marielle &amp; Conexões Políticas</t>
        </is>
      </c>
      <c r="F138" s="14" t="inlineStr">
        <is>
          <t>Disponível no Acervo</t>
        </is>
      </c>
      <c r="G138" s="15" t="inlineStr">
        <is>
          <t>Acervo Digital PDF: Sustentação Oral - AP 2434 - MPF no STF</t>
        </is>
      </c>
    </row>
    <row r="139">
      <c r="A139" s="16" t="inlineStr">
        <is>
          <t>SRC-138</t>
        </is>
      </c>
      <c r="B139" s="17" t="inlineStr">
        <is>
          <t>TCC GIOVANNA REIS - Estudo sobre Segurança Pública e Milícias</t>
        </is>
      </c>
      <c r="C139" s="16" t="inlineStr">
        <is>
          <t>Documento PDF</t>
        </is>
      </c>
      <c r="D139" s="17" t="inlineStr">
        <is>
          <t>Acervo Universitário</t>
        </is>
      </c>
      <c r="E139" s="17" t="inlineStr">
        <is>
          <t>Milícias &amp; Governança Armada</t>
        </is>
      </c>
      <c r="F139" s="16" t="inlineStr">
        <is>
          <t>Disponível no Acervo</t>
        </is>
      </c>
      <c r="G139" s="17" t="inlineStr">
        <is>
          <t>Acervo Digital PDF: TCC GIOVANNA REIS - Estudo sobre Segurança Pública e Milícias</t>
        </is>
      </c>
    </row>
    <row r="140">
      <c r="A140" s="14" t="inlineStr">
        <is>
          <t>SRC-139</t>
        </is>
      </c>
      <c r="B140" s="15" t="inlineStr">
        <is>
          <t>Temporal Versioning &amp; Snapshots - Municipal GIS &amp; Zoning Automation Hub</t>
        </is>
      </c>
      <c r="C140" s="14" t="inlineStr">
        <is>
          <t>Web URL</t>
        </is>
      </c>
      <c r="D140" s="15" t="inlineStr">
        <is>
          <t>Municipal GIS Hub</t>
        </is>
      </c>
      <c r="E140" s="15" t="inlineStr">
        <is>
          <t>Automação &amp; Geoprocessamento GIS</t>
        </is>
      </c>
      <c r="F140" s="14" t="inlineStr">
        <is>
          <t>Disponível no Acervo</t>
        </is>
      </c>
      <c r="G140" s="15" t="inlineStr">
        <is>
          <t>Pesquisa / Portal: Municipal GIS Hub</t>
        </is>
      </c>
    </row>
    <row r="141">
      <c r="A141" s="16" t="inlineStr">
        <is>
          <t>SRC-140</t>
        </is>
      </c>
      <c r="B141" s="17" t="inlineStr">
        <is>
          <t>Terceiro Comando Puro – Wikipédia, a enciclopédia livre (Artigo Principal)</t>
        </is>
      </c>
      <c r="C141" s="16" t="inlineStr">
        <is>
          <t>Web URL</t>
        </is>
      </c>
      <c r="D141" s="17" t="inlineStr">
        <is>
          <t>Wikipédia</t>
        </is>
      </c>
      <c r="E141" s="17" t="inlineStr">
        <is>
          <t>História das Facções do Tráfico</t>
        </is>
      </c>
      <c r="F141" s="16" t="inlineStr">
        <is>
          <t>Disponível no Acervo</t>
        </is>
      </c>
      <c r="G141" s="17" t="inlineStr">
        <is>
          <t>Pesquisa / Portal: Wikipédia</t>
        </is>
      </c>
    </row>
    <row r="142">
      <c r="A142" s="14" t="inlineStr">
        <is>
          <t>SRC-141</t>
        </is>
      </c>
      <c r="B142" s="15" t="inlineStr">
        <is>
          <t>Terceiro Comando Puro – Wikipédia, a enciclopédia livre (Histórico Operacional)</t>
        </is>
      </c>
      <c r="C142" s="14" t="inlineStr">
        <is>
          <t>Web URL</t>
        </is>
      </c>
      <c r="D142" s="15" t="inlineStr">
        <is>
          <t>Wikipédia</t>
        </is>
      </c>
      <c r="E142" s="15" t="inlineStr">
        <is>
          <t>História das Facções do Tráfico</t>
        </is>
      </c>
      <c r="F142" s="14" t="inlineStr">
        <is>
          <t>Disponível no Acervo</t>
        </is>
      </c>
      <c r="G142" s="15" t="inlineStr">
        <is>
          <t>Pesquisa / Portal: Wikipédia</t>
        </is>
      </c>
    </row>
    <row r="143">
      <c r="A143" s="16" t="inlineStr">
        <is>
          <t>SRC-142</t>
        </is>
      </c>
      <c r="B143" s="17" t="inlineStr">
        <is>
          <t>The Militias of Rio De Janeiro - Grey Dynamics</t>
        </is>
      </c>
      <c r="C143" s="16" t="inlineStr">
        <is>
          <t>Web URL</t>
        </is>
      </c>
      <c r="D143" s="17" t="inlineStr">
        <is>
          <t>Grey Dynamics Intelligence</t>
        </is>
      </c>
      <c r="E143" s="17" t="inlineStr">
        <is>
          <t>Milícias &amp; Governança Armada</t>
        </is>
      </c>
      <c r="F143" s="16" t="inlineStr">
        <is>
          <t>Disponível no Acervo</t>
        </is>
      </c>
      <c r="G143" s="17" t="inlineStr">
        <is>
          <t>Pesquisa / Portal: Grey Dynamics Intelligence</t>
        </is>
      </c>
    </row>
    <row r="144">
      <c r="A144" s="14" t="inlineStr">
        <is>
          <t>SRC-143</t>
        </is>
      </c>
      <c r="B144" s="15" t="inlineStr">
        <is>
          <t>The btree_gist extension - Neon Docs</t>
        </is>
      </c>
      <c r="C144" s="14" t="inlineStr">
        <is>
          <t>Web URL</t>
        </is>
      </c>
      <c r="D144" s="15" t="inlineStr">
        <is>
          <t>Neon PostgreSQL Docs</t>
        </is>
      </c>
      <c r="E144" s="15" t="inlineStr">
        <is>
          <t>Automação &amp; Geoprocessamento GIS</t>
        </is>
      </c>
      <c r="F144" s="14" t="inlineStr">
        <is>
          <t>Disponível no Acervo</t>
        </is>
      </c>
      <c r="G144" s="15" t="inlineStr">
        <is>
          <t>Pesquisa / Portal: Neon PostgreSQL Docs</t>
        </is>
      </c>
    </row>
    <row r="145">
      <c r="A145" s="16" t="inlineStr">
        <is>
          <t>SRC-144</t>
        </is>
      </c>
      <c r="B145" s="17" t="inlineStr">
        <is>
          <t>Tráfico x milícia: por que a guerra de facções no Rio piorou desde janeiro e quem é quem no conflito | G1</t>
        </is>
      </c>
      <c r="C145" s="16" t="inlineStr">
        <is>
          <t>Web URL</t>
        </is>
      </c>
      <c r="D145" s="17" t="inlineStr">
        <is>
          <t>G1 - Globo</t>
        </is>
      </c>
      <c r="E145" s="17" t="inlineStr">
        <is>
          <t>Dinâmica Territorial &amp; Facções</t>
        </is>
      </c>
      <c r="F145" s="16" t="inlineStr">
        <is>
          <t>Disponível no Acervo</t>
        </is>
      </c>
      <c r="G145" s="17" t="inlineStr">
        <is>
          <t>Pesquisa / Portal: G1 - Globo</t>
        </is>
      </c>
    </row>
    <row r="146">
      <c r="A146" s="14" t="inlineStr">
        <is>
          <t>SRC-145</t>
        </is>
      </c>
      <c r="B146" s="15" t="inlineStr">
        <is>
          <t>Três anos da ADPF das Favelas - Rede de Observatórios de Segurança</t>
        </is>
      </c>
      <c r="C146" s="14" t="inlineStr">
        <is>
          <t>Web URL</t>
        </is>
      </c>
      <c r="D146" s="15" t="inlineStr">
        <is>
          <t>Rede de Observatórios de Segurança</t>
        </is>
      </c>
      <c r="E146" s="15" t="inlineStr">
        <is>
          <t>Letalidade Policial &amp; ADPF 635</t>
        </is>
      </c>
      <c r="F146" s="14" t="inlineStr">
        <is>
          <t>Disponível no Acervo</t>
        </is>
      </c>
      <c r="G146" s="15" t="inlineStr">
        <is>
          <t>Pesquisa / Portal: Rede de Observatórios de Segurança</t>
        </is>
      </c>
    </row>
    <row r="147">
      <c r="A147" s="16" t="inlineStr">
        <is>
          <t>SRC-146</t>
        </is>
      </c>
      <c r="B147" s="17" t="inlineStr">
        <is>
          <t>Um retrato da multiplicação das milícias - Ciência Hoje</t>
        </is>
      </c>
      <c r="C147" s="16" t="inlineStr">
        <is>
          <t>Web URL</t>
        </is>
      </c>
      <c r="D147" s="17" t="inlineStr">
        <is>
          <t>Revista Ciência Hoje</t>
        </is>
      </c>
      <c r="E147" s="17" t="inlineStr">
        <is>
          <t>Milícias &amp; Governança Armada</t>
        </is>
      </c>
      <c r="F147" s="16" t="inlineStr">
        <is>
          <t>Disponível no Acervo</t>
        </is>
      </c>
      <c r="G147" s="17" t="inlineStr">
        <is>
          <t>Pesquisa / Portal: Revista Ciência Hoje</t>
        </is>
      </c>
    </row>
    <row r="148">
      <c r="A148" s="14" t="inlineStr">
        <is>
          <t>SRC-147</t>
        </is>
      </c>
      <c r="B148" s="15" t="inlineStr">
        <is>
          <t>União narcotráfico-milícias abre novo capítulo na luta contra crime no Rio - Revista Veja</t>
        </is>
      </c>
      <c r="C148" s="14" t="inlineStr">
        <is>
          <t>Web URL</t>
        </is>
      </c>
      <c r="D148" s="15" t="inlineStr">
        <is>
          <t>Revista Veja</t>
        </is>
      </c>
      <c r="E148" s="15" t="inlineStr">
        <is>
          <t>Milícias &amp; Governança Armada</t>
        </is>
      </c>
      <c r="F148" s="14" t="inlineStr">
        <is>
          <t>Disponível no Acervo</t>
        </is>
      </c>
      <c r="G148" s="15" t="inlineStr">
        <is>
          <t>Pesquisa / Portal: Revista Veja</t>
        </is>
      </c>
    </row>
    <row r="149">
      <c r="A149" s="16" t="inlineStr">
        <is>
          <t>SRC-148</t>
        </is>
      </c>
      <c r="B149" s="17" t="inlineStr">
        <is>
          <t>Vale o escrito: o jogo do bicho entre a decadência e a vitalidade - Projeto Colabora</t>
        </is>
      </c>
      <c r="C149" s="16" t="inlineStr">
        <is>
          <t>Web URL</t>
        </is>
      </c>
      <c r="D149" s="17" t="inlineStr">
        <is>
          <t>Projeto Colabora</t>
        </is>
      </c>
      <c r="E149" s="17" t="inlineStr">
        <is>
          <t>Jogo do Bicho &amp; Contravenção</t>
        </is>
      </c>
      <c r="F149" s="16" t="inlineStr">
        <is>
          <t>Disponível no Acervo</t>
        </is>
      </c>
      <c r="G149" s="17" t="inlineStr">
        <is>
          <t>Pesquisa / Portal: Projeto Colabora</t>
        </is>
      </c>
    </row>
    <row r="150">
      <c r="A150" s="14" t="inlineStr">
        <is>
          <t>SRC-149</t>
        </is>
      </c>
      <c r="B150" s="15" t="inlineStr">
        <is>
          <t>Vista do Impactos da industrialização e desindustrialização no Rio de Janeiro</t>
        </is>
      </c>
      <c r="C150" s="14" t="inlineStr">
        <is>
          <t>Web URL</t>
        </is>
      </c>
      <c r="D150" s="15" t="inlineStr">
        <is>
          <t>Periódicos UERJ</t>
        </is>
      </c>
      <c r="E150" s="15" t="inlineStr">
        <is>
          <t>Economia &amp; Desindustrialização</t>
        </is>
      </c>
      <c r="F150" s="14" t="inlineStr">
        <is>
          <t>Disponível no Acervo</t>
        </is>
      </c>
      <c r="G150" s="15" t="inlineStr">
        <is>
          <t>Pesquisa / Portal: Periódicos UERJ</t>
        </is>
      </c>
    </row>
    <row r="151">
      <c r="A151" s="16" t="inlineStr">
        <is>
          <t>SRC-150</t>
        </is>
      </c>
      <c r="B151" s="17" t="inlineStr">
        <is>
          <t>Análise das cartas do Comando Vermelho (1980-1990) - Família CV (Doc 1)</t>
        </is>
      </c>
      <c r="C151" s="16" t="inlineStr">
        <is>
          <t>Documento PDF</t>
        </is>
      </c>
      <c r="D151" s="17" t="inlineStr">
        <is>
          <t>Acervo Histórico Penitenciário</t>
        </is>
      </c>
      <c r="E151" s="17" t="inlineStr">
        <is>
          <t>Sistema Carcerário &amp; Facções</t>
        </is>
      </c>
      <c r="F151" s="16" t="inlineStr">
        <is>
          <t>Disponível no Acervo</t>
        </is>
      </c>
      <c r="G151" s="17" t="inlineStr">
        <is>
          <t>Acervo Digital PDF: Análise das cartas do Comando Vermelho (1980-1990) - Família CV (Doc 1)</t>
        </is>
      </c>
    </row>
    <row r="152">
      <c r="A152" s="14" t="inlineStr">
        <is>
          <t>SRC-151</t>
        </is>
      </c>
      <c r="B152" s="15" t="inlineStr">
        <is>
          <t>Análise das cartas do Comando Vermelho (1980-1990) - Família CV (Doc 2)</t>
        </is>
      </c>
      <c r="C152" s="14" t="inlineStr">
        <is>
          <t>Documento PDF</t>
        </is>
      </c>
      <c r="D152" s="15" t="inlineStr">
        <is>
          <t>Acervo Histórico Penitenciário</t>
        </is>
      </c>
      <c r="E152" s="15" t="inlineStr">
        <is>
          <t>Sistema Carcerário &amp; Facções</t>
        </is>
      </c>
      <c r="F152" s="14" t="inlineStr">
        <is>
          <t>Disponível no Acervo</t>
        </is>
      </c>
      <c r="G152" s="15" t="inlineStr">
        <is>
          <t>Acervo Digital PDF: Análise das cartas do Comando Vermelho (1980-1990) - Família CV (Doc 2)</t>
        </is>
      </c>
    </row>
    <row r="153">
      <c r="A153" s="16" t="inlineStr">
        <is>
          <t>SRC-152</t>
        </is>
      </c>
      <c r="B153" s="17" t="inlineStr">
        <is>
          <t>Análise das cartas do Comando Vermelho (1980-1990) - Família CV (Doc 3)</t>
        </is>
      </c>
      <c r="C153" s="16" t="inlineStr">
        <is>
          <t>Documento PDF</t>
        </is>
      </c>
      <c r="D153" s="17" t="inlineStr">
        <is>
          <t>Acervo Histórico Penitenciário</t>
        </is>
      </c>
      <c r="E153" s="17" t="inlineStr">
        <is>
          <t>Sistema Carcerário &amp; Facções</t>
        </is>
      </c>
      <c r="F153" s="16" t="inlineStr">
        <is>
          <t>Disponível no Acervo</t>
        </is>
      </c>
      <c r="G153" s="17" t="inlineStr">
        <is>
          <t>Acervo Digital PDF: Análise das cartas do Comando Vermelho (1980-1990) - Família CV (Doc 3)</t>
        </is>
      </c>
    </row>
    <row r="154">
      <c r="A154" s="14" t="inlineStr">
        <is>
          <t>SRC-153</t>
        </is>
      </c>
      <c r="B154" s="15" t="inlineStr">
        <is>
          <t>Leisure, political participation, and historical transformations in a peripheral neighborhood - SciELO</t>
        </is>
      </c>
      <c r="C154" s="14" t="inlineStr">
        <is>
          <t>Web URL</t>
        </is>
      </c>
      <c r="D154" s="15" t="inlineStr">
        <is>
          <t>SciELO</t>
        </is>
      </c>
      <c r="E154" s="15" t="inlineStr">
        <is>
          <t>Sociologia Urbana &amp; Periferias</t>
        </is>
      </c>
      <c r="F154" s="14" t="inlineStr">
        <is>
          <t>Disponível no Acervo</t>
        </is>
      </c>
      <c r="G154" s="15" t="inlineStr">
        <is>
          <t>Pesquisa / Portal: SciELO</t>
        </is>
      </c>
    </row>
    <row r="155">
      <c r="A155" s="16" t="inlineStr">
        <is>
          <t>SRC-154</t>
        </is>
      </c>
      <c r="B155" s="17" t="inlineStr">
        <is>
          <t>Para uma interpretação de trocas ilícitas e moralmente reprováveis cuja persistência interpela o Estado</t>
        </is>
      </c>
      <c r="C155" s="16" t="inlineStr">
        <is>
          <t>Documento PDF</t>
        </is>
      </c>
      <c r="D155" s="17" t="inlineStr">
        <is>
          <t>OpenEdition Journals</t>
        </is>
      </c>
      <c r="E155" s="17" t="inlineStr">
        <is>
          <t>Fundamentos Teóricos &amp; Sociologia</t>
        </is>
      </c>
      <c r="F155" s="16" t="inlineStr">
        <is>
          <t>Disponível no Acervo</t>
        </is>
      </c>
      <c r="G155" s="17" t="inlineStr">
        <is>
          <t>Acervo Digital PDF: Para uma interpretação de trocas ilícitas e moralmente reprováveis cuja persistência interpela o Estado</t>
        </is>
      </c>
    </row>
    <row r="156">
      <c r="A156" s="14" t="inlineStr">
        <is>
          <t>SRC-155</t>
        </is>
      </c>
      <c r="B156" s="15" t="inlineStr">
        <is>
          <t>Relatório final da Comissão Parlamentar de Inquérito destinada a investigar a ação de milícias no âmbito do estado do Rio de Janeiro (CPI das Milícias)</t>
        </is>
      </c>
      <c r="C156" s="14" t="inlineStr">
        <is>
          <t>Documento PDF</t>
        </is>
      </c>
      <c r="D156" s="15" t="inlineStr">
        <is>
          <t>ALERJ / Poder360</t>
        </is>
      </c>
      <c r="E156" s="15" t="inlineStr">
        <is>
          <t>Milícias &amp; Governança Armada</t>
        </is>
      </c>
      <c r="F156" s="14" t="inlineStr">
        <is>
          <t>Disponível no Acervo</t>
        </is>
      </c>
      <c r="G156" s="15" t="inlineStr">
        <is>
          <t>Acervo Digital PDF: Relatório final da Comissão Parlamentar de Inquérito destinada a investigar a ação de milícias no âmbito do estado do Rio de Janeiro (CPI das Milícias)</t>
        </is>
      </c>
    </row>
    <row r="157">
      <c r="A157" s="16" t="inlineStr">
        <is>
          <t>SRC-156</t>
        </is>
      </c>
      <c r="B157" s="17" t="inlineStr">
        <is>
          <t>“Ligação entre Bolsonaro e milícias é ideológica”, mostra livro de Bruno Paes Manso</t>
        </is>
      </c>
      <c r="C157" s="16" t="inlineStr">
        <is>
          <t>Web URL</t>
        </is>
      </c>
      <c r="D157" s="17" t="inlineStr">
        <is>
          <t>Agência Pública</t>
        </is>
      </c>
      <c r="E157" s="17" t="inlineStr">
        <is>
          <t>Milícias &amp; Governança Armada</t>
        </is>
      </c>
      <c r="F157" s="16" t="inlineStr">
        <is>
          <t>Disponível no Acervo</t>
        </is>
      </c>
      <c r="G157" s="17" t="inlineStr">
        <is>
          <t>Pesquisa / Portal: Agência Pública</t>
        </is>
      </c>
    </row>
    <row r="158">
      <c r="A158" s="14" t="inlineStr">
        <is>
          <t>SRC-157</t>
        </is>
      </c>
      <c r="B158" s="15" t="inlineStr">
        <is>
          <t>“No Rio de Janeiro a milícia não é um poder paralelo. É o Estado” - Agência Pública</t>
        </is>
      </c>
      <c r="C158" s="14" t="inlineStr">
        <is>
          <t>Web URL</t>
        </is>
      </c>
      <c r="D158" s="15" t="inlineStr">
        <is>
          <t>Agência Pública</t>
        </is>
      </c>
      <c r="E158" s="15" t="inlineStr">
        <is>
          <t>Milícias &amp; Governança Armada</t>
        </is>
      </c>
      <c r="F158" s="14" t="inlineStr">
        <is>
          <t>Disponível no Acervo</t>
        </is>
      </c>
      <c r="G158" s="15" t="inlineStr">
        <is>
          <t>Pesquisa / Portal: Agência Pública</t>
        </is>
      </c>
    </row>
    <row r="159">
      <c r="A159" s="16" t="inlineStr">
        <is>
          <t>SRC-158</t>
        </is>
      </c>
      <c r="B159" s="17" t="inlineStr">
        <is>
          <t>“Siege by terror” in disputed territories in the West Zone of Rio de Janeiro - SciELO</t>
        </is>
      </c>
      <c r="C159" s="16" t="inlineStr">
        <is>
          <t>Documento PDF</t>
        </is>
      </c>
      <c r="D159" s="17" t="inlineStr">
        <is>
          <t>SciELO</t>
        </is>
      </c>
      <c r="E159" s="17" t="inlineStr">
        <is>
          <t>Dinâmica Territorial &amp; Facções</t>
        </is>
      </c>
      <c r="F159" s="16" t="inlineStr">
        <is>
          <t>Disponível no Acervo</t>
        </is>
      </c>
      <c r="G159" s="17" t="inlineStr">
        <is>
          <t>Acervo Digital PDF: “Siege by terror” in disputed territories in the West Zone of Rio de Janeiro - SciELO</t>
        </is>
      </c>
    </row>
    <row r="160">
      <c r="A160" s="14" t="inlineStr">
        <is>
          <t>SRC-159</t>
        </is>
      </c>
      <c r="B160" s="15" t="inlineStr">
        <is>
          <t>“É, É O MUNDO À REVELIA ... - Repositório Institucional da UFPB</t>
        </is>
      </c>
      <c r="C160" s="14" t="inlineStr">
        <is>
          <t>Web URL</t>
        </is>
      </c>
      <c r="D160" s="15" t="inlineStr">
        <is>
          <t>UFPB Repositório</t>
        </is>
      </c>
      <c r="E160" s="15" t="inlineStr">
        <is>
          <t>Sociologia Urbana &amp; Periferias</t>
        </is>
      </c>
      <c r="F160" s="14" t="inlineStr">
        <is>
          <t>Disponível no Acervo</t>
        </is>
      </c>
      <c r="G160" s="15" t="inlineStr">
        <is>
          <t>Pesquisa / Portal: UFPB Repositório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1"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21" customWidth="1" min="3" max="3"/>
    <col width="70" customWidth="1" min="4" max="4"/>
  </cols>
  <sheetData>
    <row r="1">
      <c r="A1" s="1" t="inlineStr">
        <is>
          <t>CONSOLIDAÇÃO POR EIXO TEMÁTICO DE PESQUISA</t>
        </is>
      </c>
    </row>
    <row r="2">
      <c r="A2" s="2" t="inlineStr">
        <is>
          <t>Mapeamento analítico do acervo dividido pelas grandes áreas do estudo sociológico e historiográfico.</t>
        </is>
      </c>
    </row>
    <row r="3"/>
    <row r="4">
      <c r="A4" s="6" t="inlineStr">
        <is>
          <t>Eixo Temático Principal</t>
        </is>
      </c>
      <c r="B4" s="7" t="inlineStr">
        <is>
          <t>Qtd. de Fontes</t>
        </is>
      </c>
      <c r="C4" s="7" t="inlineStr">
        <is>
          <t>% do Acervo Total</t>
        </is>
      </c>
      <c r="D4" s="6" t="inlineStr">
        <is>
          <t>Descrição / Escopo de Cobertura</t>
        </is>
      </c>
    </row>
    <row r="5">
      <c r="A5" s="4" t="inlineStr">
        <is>
          <t>Milícias &amp; Governança Armada</t>
        </is>
      </c>
      <c r="B5" s="8" t="n">
        <v>25</v>
      </c>
      <c r="C5" s="9">
        <f>B5/B30</f>
        <v/>
      </c>
      <c r="D5" s="18" t="inlineStr">
        <is>
          <t>Da 'polícia mineira' à Liga da Justiça, Bonde do Zinho, urbanismo miliciano, cooptação do Minha Casa Minha Vida.</t>
        </is>
      </c>
    </row>
    <row r="6">
      <c r="A6" s="4" t="inlineStr">
        <is>
          <t>História das Facções do Tráfico</t>
        </is>
      </c>
      <c r="B6" s="8" t="n">
        <v>20</v>
      </c>
      <c r="C6" s="9">
        <f>B6/B30</f>
        <v/>
      </c>
      <c r="D6" s="18" t="inlineStr">
        <is>
          <t>Gênese do CV na Ilha Grande, CCRI, cartas oficiais, ascensão de Beira-Mar e Marcinho VP, cisões (TC, TCP, ADA).</t>
        </is>
      </c>
    </row>
    <row r="7">
      <c r="A7" s="4" t="inlineStr">
        <is>
          <t>Dinâmica Territorial &amp; Facções</t>
        </is>
      </c>
      <c r="B7" s="8" t="n">
        <v>16</v>
      </c>
      <c r="C7" s="9">
        <f>B7/B30</f>
        <v/>
      </c>
      <c r="D7" s="18" t="inlineStr">
        <is>
          <t>Mapeamento do controle territorial no Grande Rio, pesquisas do Geni/UFF e Fogo Cruzado, consórcios de invasão.</t>
        </is>
      </c>
    </row>
    <row r="8">
      <c r="A8" s="4" t="inlineStr">
        <is>
          <t>Letalidade Policial &amp; ADPF 635</t>
        </is>
      </c>
      <c r="B8" s="8" t="n">
        <v>13</v>
      </c>
      <c r="C8" s="9">
        <f>B8/B30</f>
        <v/>
      </c>
      <c r="D8" s="18" t="inlineStr">
        <is>
          <t>ADPF 635 ('ADPF das Favelas'), restrições do STF, câmeras corporais, letalidade policial, chacinas e relatórios da OEA.</t>
        </is>
      </c>
    </row>
    <row r="9">
      <c r="A9" s="4" t="inlineStr">
        <is>
          <t>Fundamentos Teóricos &amp; Sociologia</t>
        </is>
      </c>
      <c r="B9" s="8" t="n">
        <v>12</v>
      </c>
      <c r="C9" s="9">
        <f>B9/B30</f>
        <v/>
      </c>
      <c r="D9" s="18" t="inlineStr">
        <is>
          <t>Acumulação social da violência de Michel Misse, sujeição criminal, mercadorias políticas e enquadramento analítico.</t>
        </is>
      </c>
    </row>
    <row r="10">
      <c r="A10" s="4" t="inlineStr">
        <is>
          <t>Corrupção &amp; Política Fluminense</t>
        </is>
      </c>
      <c r="B10" s="8" t="n">
        <v>8</v>
      </c>
      <c r="C10" s="9">
        <f>B10/B30</f>
        <v/>
      </c>
      <c r="D10" s="18" t="inlineStr">
        <is>
          <t>Escândalos estaduais, Lava Jato (Calicute), prisão/impeachment de governadores, máfia dos ônibus (Fetranspor) e Saúde.</t>
        </is>
      </c>
    </row>
    <row r="11">
      <c r="A11" s="4" t="inlineStr">
        <is>
          <t>Sistema Carcerário &amp; Facções</t>
        </is>
      </c>
      <c r="B11" s="8" t="n">
        <v>7</v>
      </c>
      <c r="C11" s="9">
        <f>B11/B30</f>
        <v/>
      </c>
      <c r="D11" s="18" t="inlineStr">
        <is>
          <t>Análise do sistema prisional federal, presídios estaduais (Bangu I, Cândido Mendes) e dinâmicas de custódia.</t>
        </is>
      </c>
    </row>
    <row r="12">
      <c r="A12" s="4" t="inlineStr">
        <is>
          <t>Guerra de Facções &amp; PCC/CV</t>
        </is>
      </c>
      <c r="B12" s="8" t="n">
        <v>6</v>
      </c>
      <c r="C12" s="9">
        <f>B12/B30</f>
        <v/>
      </c>
      <c r="D12" s="18" t="inlineStr">
        <is>
          <t>Ruptura nacional entre PCC e CV (2016), conexões transnacionais e redes estaduais de suprimento de armas.</t>
        </is>
      </c>
    </row>
    <row r="13">
      <c r="A13" s="4" t="inlineStr">
        <is>
          <t>Legislação Penal &amp; Tipificação</t>
        </is>
      </c>
      <c r="B13" s="8" t="n">
        <v>6</v>
      </c>
      <c r="C13" s="9">
        <f>B13/B30</f>
        <v/>
      </c>
      <c r="D13" s="18" t="inlineStr">
        <is>
          <t>Lei 12.720/2012 (Lei de Milícias), Lei 12.850/2013 (ORCRIM), Pacote Anticrime e reformas recentes de segurança pública.</t>
        </is>
      </c>
    </row>
    <row r="14">
      <c r="A14" s="4" t="inlineStr">
        <is>
          <t>Letalidade Policial &amp; Direitos Humanos</t>
        </is>
      </c>
      <c r="B14" s="8" t="n">
        <v>6</v>
      </c>
      <c r="C14" s="9">
        <f>B14/B30</f>
        <v/>
      </c>
      <c r="D14" s="18" t="inlineStr">
        <is>
          <t>Impactos da violência armada na rede escolar de favelas (pesquisas CESeC) e violações de direitos humanos.</t>
        </is>
      </c>
    </row>
    <row r="15">
      <c r="A15" s="4" t="inlineStr">
        <is>
          <t>Esquadrões da Morte &amp; Parastatalidade</t>
        </is>
      </c>
      <c r="B15" s="8" t="n">
        <v>5</v>
      </c>
      <c r="C15" s="9">
        <f>B15/B30</f>
        <v/>
      </c>
      <c r="D15" s="18" t="inlineStr">
        <is>
          <t>Grupo de Diligências Especiais (Le Cocq), Scuderie Le Coq, Homens de Ouro (Mariel Mariscot), Tenório Cavalcanti e Escritório do Crime.</t>
        </is>
      </c>
    </row>
    <row r="16">
      <c r="A16" s="4" t="inlineStr">
        <is>
          <t>Economia &amp; Desindustrialização</t>
        </is>
      </c>
      <c r="B16" s="8" t="n">
        <v>5</v>
      </c>
      <c r="C16" s="9">
        <f>B16/B30</f>
        <v/>
      </c>
      <c r="D16" s="18" t="inlineStr">
        <is>
          <t>Tese da 'Estrutura Produtiva Oca' (Bruno Sobral), retração da indústria de transformação (-20,2%) e vazios industriais na AP3.</t>
        </is>
      </c>
    </row>
    <row r="17">
      <c r="A17" s="4" t="inlineStr">
        <is>
          <t>Caso Marielle &amp; Conexões Políticas</t>
        </is>
      </c>
      <c r="B17" s="8" t="n">
        <v>5</v>
      </c>
      <c r="C17" s="9">
        <f>B17/B30</f>
        <v/>
      </c>
      <c r="D17" s="18" t="inlineStr">
        <is>
          <t>Investigação do homicídio de Marielle Franco e Anderson Gomes, condenação dos irmãos Brazão no STF e papel de Rivaldo Barbosa.</t>
        </is>
      </c>
    </row>
    <row r="18">
      <c r="A18" s="4" t="inlineStr">
        <is>
          <t>Antropologia Urbana &amp; Alba Zaluar</t>
        </is>
      </c>
      <c r="B18" s="8" t="n">
        <v>4</v>
      </c>
      <c r="C18" s="9">
        <f>B18/B30</f>
        <v/>
      </c>
      <c r="D18" s="18" t="inlineStr">
        <is>
          <t>Etnografia em favelas, tese da 'Integração Perversa', Cidade de Deus, masculinização violenta e ethos de virilidade.</t>
        </is>
      </c>
    </row>
    <row r="19">
      <c r="A19" s="4" t="inlineStr">
        <is>
          <t>Políticas de Segurança &amp; UPPs</t>
        </is>
      </c>
      <c r="B19" s="8" t="n">
        <v>4</v>
      </c>
      <c r="C19" s="9">
        <f>B19/B30</f>
        <v/>
      </c>
      <c r="D19" s="18" t="inlineStr">
        <is>
          <t>Balanço crítico de 5 e 10 anos das Unidades de Polícia Pacificadora (UPPs), pacificações e colapso fiscal.</t>
        </is>
      </c>
    </row>
    <row r="20">
      <c r="A20" s="4" t="inlineStr">
        <is>
          <t>Automação &amp; Geoprocessamento GIS</t>
        </is>
      </c>
      <c r="B20" s="8" t="n">
        <v>3</v>
      </c>
      <c r="C20" s="9">
        <f>B20/B30</f>
        <v/>
      </c>
      <c r="D20" s="18" t="inlineStr">
        <is>
          <t>Documentação técnica de sistemas GIS municipais, PostGIS, tabelas espaciais e versionamento para o mapa interativo.</t>
        </is>
      </c>
    </row>
    <row r="21">
      <c r="A21" s="4" t="inlineStr">
        <is>
          <t>Estudos Comparados Internacionais</t>
        </is>
      </c>
      <c r="B21" s="8" t="n">
        <v>3</v>
      </c>
      <c r="C21" s="9">
        <f>B21/B30</f>
        <v/>
      </c>
      <c r="D21" s="18" t="inlineStr">
        <is>
          <t>Análise comparativa com Medellín (Colômbia) e Oficina de Envigado.</t>
        </is>
      </c>
    </row>
    <row r="22">
      <c r="A22" s="4" t="inlineStr">
        <is>
          <t>Urbanismo &amp; Favelas</t>
        </is>
      </c>
      <c r="B22" s="8" t="n">
        <v>2</v>
      </c>
      <c r="C22" s="9">
        <f>B22/B30</f>
        <v/>
      </c>
      <c r="D22" s="18" t="inlineStr">
        <is>
          <t>Censo IBGE (uso do termo favela) e seminários internacionais de urbanização de favelas.</t>
        </is>
      </c>
    </row>
    <row r="23">
      <c r="A23" s="4" t="inlineStr">
        <is>
          <t>Políticas de Segurança &amp; Orçamento</t>
        </is>
      </c>
      <c r="B23" s="8" t="n">
        <v>2</v>
      </c>
      <c r="C23" s="9">
        <f>B23/B30</f>
        <v/>
      </c>
      <c r="D23" s="18" t="inlineStr">
        <is>
          <t>Análise orçamentária da segurança pública fluminense e oscilação de recursos no governo Cláudio Castro.</t>
        </is>
      </c>
    </row>
    <row r="24">
      <c r="A24" s="4" t="inlineStr">
        <is>
          <t>Sociologia Urbana &amp; Periferias</t>
        </is>
      </c>
      <c r="B24" s="8" t="n">
        <v>2</v>
      </c>
      <c r="C24" s="9">
        <f>B24/B30</f>
        <v/>
      </c>
      <c r="D24" s="18" t="inlineStr">
        <is>
          <t>Estudos sobre lazer, participação política e transformações históricas em bairros periféricos e favelas.</t>
        </is>
      </c>
    </row>
    <row r="25">
      <c r="A25" s="4" t="inlineStr">
        <is>
          <t>Segurança Pública &amp; Estatísticas</t>
        </is>
      </c>
      <c r="B25" s="8" t="n">
        <v>1</v>
      </c>
      <c r="C25" s="9">
        <f>B25/B30</f>
        <v/>
      </c>
      <c r="D25" s="18" t="inlineStr">
        <is>
          <t>Relatórios estaduais e bancos de dados estatísticos de criminalidade.</t>
        </is>
      </c>
    </row>
    <row r="26">
      <c r="A26" s="4" t="inlineStr">
        <is>
          <t>Letalidade Policial &amp; Chacinas</t>
        </is>
      </c>
      <c r="B26" s="8" t="n">
        <v>1</v>
      </c>
      <c r="C26" s="9">
        <f>B26/B30</f>
        <v/>
      </c>
      <c r="D26" s="18" t="inlineStr">
        <is>
          <t>Registro historiográfico de chacinas no Rio de Janeiro (2023–2026) no Dicionário de Favelas Marielle Franco.</t>
        </is>
      </c>
    </row>
    <row r="27">
      <c r="A27" s="4" t="inlineStr">
        <is>
          <t>Táticas Policiais &amp; BOPE</t>
        </is>
      </c>
      <c r="B27" s="8" t="n">
        <v>1</v>
      </c>
      <c r="C27" s="9">
        <f>B27/B30</f>
        <v/>
      </c>
      <c r="D27" s="18" t="inlineStr">
        <is>
          <t>Histórico de criação do NuCOE/BOPE por Paulo César Amêndola, táticas de confronto e blindados.</t>
        </is>
      </c>
    </row>
    <row r="28">
      <c r="A28" s="4" t="inlineStr">
        <is>
          <t>Acervo Audiovisual &amp; Pesquisa</t>
        </is>
      </c>
      <c r="B28" s="8" t="n">
        <v>1</v>
      </c>
      <c r="C28" s="9">
        <f>B28/B30</f>
        <v/>
      </c>
      <c r="D28" s="18" t="inlineStr">
        <is>
          <t>Conteúdos em vídeo e canal Iconografia da História.</t>
        </is>
      </c>
    </row>
    <row r="29">
      <c r="A29" s="4" t="inlineStr">
        <is>
          <t>Jogo do Bicho &amp; Contravenção</t>
        </is>
      </c>
      <c r="B29" s="8" t="n">
        <v>1</v>
      </c>
      <c r="C29" s="9">
        <f>B29/B30</f>
        <v/>
      </c>
      <c r="D29" s="18" t="inlineStr">
        <is>
          <t>Histórico do Jogo do Bicho, criação da LIESA por Castor de Andrade e formação original das mercadorias políticas.</t>
        </is>
      </c>
    </row>
    <row r="30">
      <c r="A30" s="10" t="inlineStr">
        <is>
          <t>Total Geral de Fontes</t>
        </is>
      </c>
      <c r="B30" s="10">
        <f>SUM(B5:B29)</f>
        <v/>
      </c>
      <c r="C30" s="11">
        <f>SUM(C5:C29)</f>
        <v/>
      </c>
      <c r="D30" s="19" t="inlineStr">
        <is>
          <t>Cobertura integral de 100% dos documentos do acervo.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2026-09-13T05:54:25Z</dcterms:created>
  <dcterms:modified xmlns:dcterms="http://purl.org/dc/terms/" xmlns:xsi="http://www.w3.org/2001/XMLSchema-instance" xsi:type="dcterms:W3CDTF">2026-09-13T05:54:25Z</dcterms:modified>
</cp:coreProperties>
</file>